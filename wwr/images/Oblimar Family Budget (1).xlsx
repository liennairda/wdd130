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  <sheet state="visible" name="INCOME&amp;TITHES" sheetId="2" r:id="rId5"/>
    <sheet state="visible" name="INCOME SUM" sheetId="3" r:id="rId6"/>
    <sheet state="visible" name="EXPENSE SUM" sheetId="4" r:id="rId7"/>
    <sheet state="hidden" name="Expense Chart" sheetId="5" r:id="rId8"/>
    <sheet state="hidden" name="TITHING SUM" sheetId="6" r:id="rId9"/>
    <sheet state="visible" name="Car" sheetId="7" r:id="rId10"/>
    <sheet state="visible" name="Travel 10" sheetId="8" r:id="rId11"/>
    <sheet state="visible" name="House Project" sheetId="9" r:id="rId12"/>
    <sheet state="visible" name="INVOICE" sheetId="10" r:id="rId13"/>
  </sheets>
  <definedNames>
    <definedName hidden="1" localSheetId="4" name="_xlnm._FilterDatabase">'Expense Chart'!$A$4:$AQ$35</definedName>
    <definedName hidden="1" localSheetId="6" name="_xlnm._FilterDatabase">Car!$A$1:$C$995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5">
      <text>
        <t xml:space="preserve">shoes</t>
      </text>
    </comment>
    <comment authorId="0" ref="K8">
      <text>
        <t xml:space="preserve">t-shirts and toys</t>
      </text>
    </comment>
    <comment authorId="0" ref="C9">
      <text>
        <t xml:space="preserve">aircon cleaning</t>
      </text>
    </comment>
    <comment authorId="0" ref="J9">
      <text>
        <t xml:space="preserve">shiritaki rice
</t>
      </text>
    </comment>
    <comment authorId="0" ref="K9">
      <text>
        <t xml:space="preserve">piano lesson fee + music books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">
      <text>
        <t xml:space="preserve">fast offering </t>
      </text>
    </comment>
    <comment authorId="0" ref="D16">
      <text>
        <t xml:space="preserve">fast offering </t>
      </text>
    </comment>
  </commentList>
</comments>
</file>

<file path=xl/sharedStrings.xml><?xml version="1.0" encoding="utf-8"?>
<sst xmlns="http://schemas.openxmlformats.org/spreadsheetml/2006/main" count="2789" uniqueCount="743">
  <si>
    <t>MONTHLY BUDGET</t>
  </si>
  <si>
    <t>Day</t>
  </si>
  <si>
    <t>House</t>
  </si>
  <si>
    <t>Internet</t>
  </si>
  <si>
    <t>Electricity</t>
  </si>
  <si>
    <t>Water / HOA Bill</t>
  </si>
  <si>
    <t>Meal Plan</t>
  </si>
  <si>
    <t>Eat Out</t>
  </si>
  <si>
    <t>Car Gas</t>
  </si>
  <si>
    <t>Food + Groceries</t>
  </si>
  <si>
    <t>Kids School</t>
  </si>
  <si>
    <t xml:space="preserve">Medicine </t>
  </si>
  <si>
    <t>Abet Tithing and Offering</t>
  </si>
  <si>
    <t>Bridget Tiithing and Offering</t>
  </si>
  <si>
    <t>Others</t>
  </si>
  <si>
    <t>HC Loan</t>
  </si>
  <si>
    <t>TOTAL MONTHLY EXPENSE GOAL</t>
  </si>
  <si>
    <t>Wed</t>
  </si>
  <si>
    <t>Thu</t>
  </si>
  <si>
    <t>Fri</t>
  </si>
  <si>
    <t>Sat</t>
  </si>
  <si>
    <t>Sun</t>
  </si>
  <si>
    <t>Mon</t>
  </si>
  <si>
    <t>Tue</t>
  </si>
  <si>
    <t>1st week</t>
  </si>
  <si>
    <t>2nd week</t>
  </si>
  <si>
    <t>3rd week</t>
  </si>
  <si>
    <t>4th week</t>
  </si>
  <si>
    <t>TOTAL  Pay this month</t>
  </si>
  <si>
    <t>Bank Desposits</t>
  </si>
  <si>
    <t>Abet VAGates</t>
  </si>
  <si>
    <t>BPI</t>
  </si>
  <si>
    <t>Abet Home Credit</t>
  </si>
  <si>
    <t>Bridget Admin OSI</t>
  </si>
  <si>
    <t>SPENT</t>
  </si>
  <si>
    <t>Until Break Even</t>
  </si>
  <si>
    <t xml:space="preserve">ACCOUNT NO.: </t>
  </si>
  <si>
    <t>Total</t>
  </si>
  <si>
    <t xml:space="preserve">DUE DATE: </t>
  </si>
  <si>
    <t xml:space="preserve">DUE AMOUNT: </t>
  </si>
  <si>
    <t>Bridget's Salary</t>
  </si>
  <si>
    <t>Tithing 012-0312-9719</t>
  </si>
  <si>
    <t>Total Tithing 4401 F.O. 4402</t>
  </si>
  <si>
    <t>Abet's Salary</t>
  </si>
  <si>
    <t>Tithing 012-0210-6707</t>
  </si>
  <si>
    <t>Date</t>
  </si>
  <si>
    <t>Amount</t>
  </si>
  <si>
    <t>Bridget Home Credit</t>
  </si>
  <si>
    <t>PLDT Fiber</t>
  </si>
  <si>
    <t xml:space="preserve">Account Name: </t>
  </si>
  <si>
    <t>BRIDGET GWEN OBLIMAR</t>
  </si>
  <si>
    <t xml:space="preserve">Account No. </t>
  </si>
  <si>
    <t>O378989779</t>
  </si>
  <si>
    <t xml:space="preserve">Amount </t>
  </si>
  <si>
    <t>PHP 1,399.00</t>
  </si>
  <si>
    <t>FH Monthly Due</t>
  </si>
  <si>
    <t>O9095036116</t>
  </si>
  <si>
    <t>Business Expenses</t>
  </si>
  <si>
    <t>Office</t>
  </si>
  <si>
    <t>HOAWater FH</t>
  </si>
  <si>
    <t>Tablet</t>
  </si>
  <si>
    <t>Laptops</t>
  </si>
  <si>
    <t>Total Business Expense</t>
  </si>
  <si>
    <t>Divided by 2</t>
  </si>
  <si>
    <t>Abet Month Total Income</t>
  </si>
  <si>
    <t>Bridget Month Total Income</t>
  </si>
  <si>
    <t>Abet Tithing</t>
  </si>
  <si>
    <t>Bridget Tithing</t>
  </si>
  <si>
    <t>1st half of the month</t>
  </si>
  <si>
    <t>2nd Half of the Month</t>
  </si>
  <si>
    <t>Remaining Bal (Including Bank Deposit)</t>
  </si>
  <si>
    <t>Abet Rosegate</t>
  </si>
  <si>
    <t>Abet Brivity - BVA</t>
  </si>
  <si>
    <t>Abet Brivity - BKT</t>
  </si>
  <si>
    <t>Bridget Admin  OSI</t>
  </si>
  <si>
    <t>Abet Pathway</t>
  </si>
  <si>
    <t>Instructor Admin  OSI</t>
  </si>
  <si>
    <t>Bridget Clear Crest LLC</t>
  </si>
  <si>
    <t>Bridget Maya</t>
  </si>
  <si>
    <t>Bridget Instructor Admin  OSI</t>
  </si>
  <si>
    <t>OSI-Pathway - Abet</t>
  </si>
  <si>
    <t>Instructors International LLC - Bridget</t>
  </si>
  <si>
    <t>Maya Shavit</t>
  </si>
  <si>
    <t>OSI-Pathway - Bridget</t>
  </si>
  <si>
    <t>Instructors International LLC - Abet</t>
  </si>
  <si>
    <t>Abet Instructor</t>
  </si>
  <si>
    <t>Brivity Bridget</t>
  </si>
  <si>
    <t>Abet - VirginiaGate</t>
  </si>
  <si>
    <t>Bridget Pathway</t>
  </si>
  <si>
    <t>₱27,851.00</t>
  </si>
  <si>
    <t>BRIA House</t>
  </si>
  <si>
    <t xml:space="preserve">House Rent </t>
  </si>
  <si>
    <t>Drinking Water &amp; Nawasa</t>
  </si>
  <si>
    <t>PEF</t>
  </si>
  <si>
    <t>Philhealth SSS Pag-Ibig</t>
  </si>
  <si>
    <t>Manulife</t>
  </si>
  <si>
    <t>Gas + Car Maintenance</t>
  </si>
  <si>
    <t>Briggy + Sophie</t>
  </si>
  <si>
    <t>Medicine</t>
  </si>
  <si>
    <t>Abet Tiithing and Offering</t>
  </si>
  <si>
    <t>TOTAL RUNNING EXP</t>
  </si>
  <si>
    <t>&lt;--TOTAL EXPENSE</t>
  </si>
  <si>
    <t>RUNNING BALANCE</t>
  </si>
  <si>
    <t>Vehicle</t>
  </si>
  <si>
    <t>2025 EXPENSE</t>
  </si>
  <si>
    <t>Gasoline</t>
  </si>
  <si>
    <t>Briggy + Sophie School</t>
  </si>
  <si>
    <t>Therapy/Gym/Medicine</t>
  </si>
  <si>
    <t>TOTAL MONTHLY EXP GOAL</t>
  </si>
  <si>
    <t>2024 EXPENSE</t>
  </si>
  <si>
    <t>BPI Loan</t>
  </si>
  <si>
    <t>Briggy Therapy</t>
  </si>
  <si>
    <t>TOTAL MONTHLY EXP</t>
  </si>
  <si>
    <t>Water Bill</t>
  </si>
  <si>
    <t>Pag-Ibig</t>
  </si>
  <si>
    <t>Gas</t>
  </si>
  <si>
    <t>TOTAL MONTHLY EXP GOAL 42,999</t>
  </si>
  <si>
    <t>2 0 2 1</t>
  </si>
  <si>
    <t xml:space="preserve">House </t>
  </si>
  <si>
    <t>OVER</t>
  </si>
  <si>
    <t>Business Expense</t>
  </si>
  <si>
    <t>TAXI</t>
  </si>
  <si>
    <t>Manualife Insurance &amp; Investment</t>
  </si>
  <si>
    <t>Car</t>
  </si>
  <si>
    <t>travel</t>
  </si>
  <si>
    <t xml:space="preserve">gas Avanza </t>
  </si>
  <si>
    <t xml:space="preserve">Mac mini </t>
  </si>
  <si>
    <t xml:space="preserve">food Kenny Rogers </t>
  </si>
  <si>
    <t>avilon</t>
  </si>
  <si>
    <t xml:space="preserve">groceries </t>
  </si>
  <si>
    <t>meds</t>
  </si>
  <si>
    <t>garments</t>
  </si>
  <si>
    <t>dinner roti+icecream</t>
  </si>
  <si>
    <t xml:space="preserve">comedy show </t>
  </si>
  <si>
    <t xml:space="preserve">mind meuseum </t>
  </si>
  <si>
    <t xml:space="preserve">jolibee mind meuseum </t>
  </si>
  <si>
    <t>Tongco Tickets</t>
  </si>
  <si>
    <t>Grab Food Biryani and Shake</t>
  </si>
  <si>
    <t>toll fee</t>
  </si>
  <si>
    <t>car rent</t>
  </si>
  <si>
    <t>airplane snacks</t>
  </si>
  <si>
    <t xml:space="preserve">jolibee </t>
  </si>
  <si>
    <t>pocari and gas jc</t>
  </si>
  <si>
    <t xml:space="preserve">plane tickets </t>
  </si>
  <si>
    <t>2023 Month</t>
  </si>
  <si>
    <t>TOTAL MONTHLY EXPENSE</t>
  </si>
  <si>
    <t>TOTAL MONTHLY INCOME</t>
  </si>
  <si>
    <t>2022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</si>
  <si>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</si>
  <si>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</si>
  <si>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</si>
  <si>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</si>
  <si>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</si>
  <si>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</si>
  <si>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</si>
  <si>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</si>
  <si>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</si>
  <si>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</si>
  <si>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</si>
  <si>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</si>
  <si>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Bridget's Salary 2022</t>
  </si>
  <si>
    <t>Total Tithing 4401</t>
  </si>
  <si>
    <t>F.O. 4402</t>
  </si>
  <si>
    <t>Abet's Salary 2022</t>
  </si>
  <si>
    <t xml:space="preserve">Sobra 500 akong na tithing :) </t>
  </si>
  <si>
    <t>Bridget's Salary 2021</t>
  </si>
  <si>
    <t>Abet's Salary 2021</t>
  </si>
  <si>
    <t>2020 Bridget's Salary</t>
  </si>
  <si>
    <t>Missionary Donation</t>
  </si>
  <si>
    <t>2020 Abet's Salary</t>
  </si>
  <si>
    <t>Overhaul</t>
  </si>
  <si>
    <t>Car price with registration</t>
  </si>
  <si>
    <t>Paid</t>
  </si>
  <si>
    <t>Air and cabin filter</t>
  </si>
  <si>
    <t>Labor CA</t>
  </si>
  <si>
    <t>Kireina tint</t>
  </si>
  <si>
    <t xml:space="preserve">Towing </t>
  </si>
  <si>
    <t>Change Oil and Filter</t>
  </si>
  <si>
    <t>Coolant (top up)</t>
  </si>
  <si>
    <t>Piston+Conrod</t>
  </si>
  <si>
    <t xml:space="preserve">Oil Change </t>
  </si>
  <si>
    <t>Piston Ring</t>
  </si>
  <si>
    <t>Mags Tires</t>
  </si>
  <si>
    <t>Cylinder Liner</t>
  </si>
  <si>
    <t>Barbula/Head Alignment</t>
  </si>
  <si>
    <t>wheel alignment &amp; balance</t>
  </si>
  <si>
    <t>Engine Oil 5 Liters</t>
  </si>
  <si>
    <t>Car bumper repair</t>
  </si>
  <si>
    <t>Coolant 6 liters</t>
  </si>
  <si>
    <t>Car bumper lining</t>
  </si>
  <si>
    <t>Gasket All 5 pcs</t>
  </si>
  <si>
    <t>Gasket Maker 1 pc</t>
  </si>
  <si>
    <t>Under chassis Cover</t>
  </si>
  <si>
    <t>Throttle Body Cleaner</t>
  </si>
  <si>
    <t>Air filter</t>
  </si>
  <si>
    <t>Oil filter</t>
  </si>
  <si>
    <t>Oil gastket</t>
  </si>
  <si>
    <t xml:space="preserve">Labor </t>
  </si>
  <si>
    <t xml:space="preserve">   </t>
  </si>
  <si>
    <t>Land at Hong Kong International Airport.</t>
  </si>
  <si>
    <t>Clear Immigration and Customs.</t>
  </si>
  <si>
    <t>Take a Taxi to Disney Explorers Lodge</t>
  </si>
  <si>
    <t>Drop bags at Bell Service and complete pre-check-in.</t>
  </si>
  <si>
    <t>Explore the Oceanian and South American themed gardens.</t>
  </si>
  <si>
    <t>Walk the seaside promenade behind the hotel.</t>
  </si>
  <si>
    <t>Take the free resort shuttle to Hong Kong Disneyland</t>
  </si>
  <si>
    <t>Lunch at Starliner Diner Click to open side panel for more information  (Tomorrowland)</t>
  </si>
  <si>
    <t>"Ant-Man and The Wasp: Nano Battle!"</t>
  </si>
  <si>
    <t>Ride "Iron Man Experience."</t>
  </si>
  <si>
    <t>Watch "Mickey and the Wondrous Book" (check app for exact showtimes).</t>
  </si>
  <si>
    <t>Explore the shops on Main Street, U.S.A.</t>
  </si>
  <si>
    <t>Shuttle back to the hotel; officially check into your room.</t>
  </si>
  <si>
    <t>Family rest and unpack.</t>
  </si>
  <si>
    <t>Head to the Rain Drop Pool.</t>
  </si>
  <si>
    <t>Swimming and poolside relaxation.</t>
  </si>
  <si>
    <t>Shower and change.</t>
  </si>
  <si>
    <t>Take the shuttle back to the park for a "budget" dinner.</t>
  </si>
  <si>
    <t>Dinner at Comet Cafe</t>
  </si>
  <si>
    <t>Walk through Fantasyland at night (great for photos).</t>
  </si>
  <si>
    <t>Find a spot for the "Momentous" Nighttime Spectacular.</t>
  </si>
  <si>
    <t>Return to the Lodge.</t>
  </si>
  <si>
    <t>Quick "in-room" breakfast with snacks brought from</t>
  </si>
  <si>
    <t>Cash Widthrawals</t>
  </si>
  <si>
    <t>Take the resort shuttle to the park.</t>
  </si>
  <si>
    <t>Wait at the turnstiles for park opening.</t>
  </si>
  <si>
    <t>Toys</t>
  </si>
  <si>
    <t>Rope Drop: Sprint to "World of Frozen."</t>
  </si>
  <si>
    <t>kids watch</t>
  </si>
  <si>
    <t>Ride "Frozen Ever After."</t>
  </si>
  <si>
    <t>Disney</t>
  </si>
  <si>
    <t>Ride "Wandering Oaken’s Sliding Sleighs."</t>
  </si>
  <si>
    <t>Citigate</t>
  </si>
  <si>
    <t>Grab a snack (Mickey Waffle) Judy's Waffle</t>
  </si>
  <si>
    <t>Storage Deposit</t>
  </si>
  <si>
    <t>Lunch at Royal Banquet HallClick to open side panel for more information. Use Klook vouchers for a mix of Pizza, Grill, or Dim Sum.</t>
  </si>
  <si>
    <t>Bakehouse</t>
  </si>
  <si>
    <t>Ride "It's a Small World."</t>
  </si>
  <si>
    <t>Shakeshack</t>
  </si>
  <si>
    <t>Ride "The Many Adventures of Winnie the Pooh."</t>
  </si>
  <si>
    <t>HC D food</t>
  </si>
  <si>
    <t>Walk to Mystic Point.</t>
  </si>
  <si>
    <t>Ride "Mystic Manor."</t>
  </si>
  <si>
    <t>HK milk Tea</t>
  </si>
  <si>
    <t>Ride "Big Grizzly Mountain Runaway Mine Cars."</t>
  </si>
  <si>
    <t>Roasted Squid</t>
  </si>
  <si>
    <t>Explore Toy Story Land; Ride "Slinky Dog Spin."</t>
  </si>
  <si>
    <t>Lotso Waffle Sandwich</t>
  </si>
  <si>
    <t>Ride "RC Racer" (for the 11-year-old).</t>
  </si>
  <si>
    <t>Watch "Festival of the Lion King" (Adventureland).</t>
  </si>
  <si>
    <t>Ride "Jungle River Cruise."</t>
  </si>
  <si>
    <t>First day Meal</t>
  </si>
  <si>
    <t>Ride "Hyperspace Mountain."</t>
  </si>
  <si>
    <t>Mercury Drug Clobetazol</t>
  </si>
  <si>
    <t>Grab</t>
  </si>
  <si>
    <t>Free time for re-riding favorites.</t>
  </si>
  <si>
    <t xml:space="preserve">Park and go </t>
  </si>
  <si>
    <t>Watch "Momentous" again or do night shopping on Main Street.</t>
  </si>
  <si>
    <t>Move it</t>
  </si>
  <si>
    <t>Shuttle back to the Lodge.</t>
  </si>
  <si>
    <t>12 monkeys</t>
  </si>
  <si>
    <t xml:space="preserve">Movie </t>
  </si>
  <si>
    <t xml:space="preserve">Snacks </t>
  </si>
  <si>
    <t>Savio</t>
  </si>
  <si>
    <t>Pack bags and complete check-out.</t>
  </si>
  <si>
    <t>Mcdo</t>
  </si>
  <si>
    <t>Store luggage at the hotel Bell Service.</t>
  </si>
  <si>
    <t>Airport food</t>
  </si>
  <si>
    <t>Visit the Lodge gift shop for exclusive hotel pins or shirts.</t>
  </si>
  <si>
    <t>Last shuttle to the park.</t>
  </si>
  <si>
    <t>Character Meet &amp; Greets on Main Street.</t>
  </si>
  <si>
    <t>Final Park Lunch at Wayfinders' TableClick to open side panel for more information (Adventureland) for curry and Southeast Asian flavors.</t>
  </si>
  <si>
    <t>Ride "Orbitron."</t>
  </si>
  <si>
    <t>Final photo session in front of the castle.</t>
  </si>
  <si>
    <t>Watch the afternoon parade or street show.</t>
  </si>
  <si>
    <t>Last minute souvenir run.</t>
  </si>
  <si>
    <t>Take the shuttle back to the hotel.</t>
  </si>
  <si>
    <t>Collect luggage and call a taxi for the airport.</t>
  </si>
  <si>
    <t>Depart for Hong Kong International Airport.</t>
  </si>
  <si>
    <t>Check in for your flight (7:15 PM departure).</t>
  </si>
  <si>
    <t>From Iligan</t>
  </si>
  <si>
    <t>Airport</t>
  </si>
  <si>
    <t>Depart to Airport</t>
  </si>
  <si>
    <t>Flight to Hongkong</t>
  </si>
  <si>
    <t>Breakfast</t>
  </si>
  <si>
    <t>Flight to Manila</t>
  </si>
  <si>
    <t>Ate House</t>
  </si>
  <si>
    <t>Checkout Hotel</t>
  </si>
  <si>
    <t>Lunch</t>
  </si>
  <si>
    <t>Checkin Disney Hotel</t>
  </si>
  <si>
    <t>Depart to Airport to CDO</t>
  </si>
  <si>
    <t xml:space="preserve">Dinner </t>
  </si>
  <si>
    <t>Flight to CDO</t>
  </si>
  <si>
    <t>Laguindingan to Iligan</t>
  </si>
  <si>
    <t xml:space="preserve">ticket plane round-trip </t>
  </si>
  <si>
    <t>Grab Enchanted</t>
  </si>
  <si>
    <t>Grab  Pasig</t>
  </si>
  <si>
    <t>Manila Temple Session</t>
  </si>
  <si>
    <t>Swimming Pool Lexington</t>
  </si>
  <si>
    <t>Church</t>
  </si>
  <si>
    <t>Temple</t>
  </si>
  <si>
    <t>Jolibee</t>
  </si>
  <si>
    <t>Airport to Pasig</t>
  </si>
  <si>
    <t xml:space="preserve">Shakeys </t>
  </si>
  <si>
    <t>DQ</t>
  </si>
  <si>
    <t>Enchanted Kingdom</t>
  </si>
  <si>
    <t xml:space="preserve">7d </t>
  </si>
  <si>
    <t xml:space="preserve">Pciture </t>
  </si>
  <si>
    <t>Chili's Bday Giro</t>
  </si>
  <si>
    <t xml:space="preserve">Games </t>
  </si>
  <si>
    <t xml:space="preserve">Enchanted Kingdom </t>
  </si>
  <si>
    <t xml:space="preserve">Boys night out  </t>
  </si>
  <si>
    <t>Laguindingan to CDO</t>
  </si>
  <si>
    <t xml:space="preserve">Mary Grace </t>
  </si>
  <si>
    <t>with Mission Friends</t>
  </si>
  <si>
    <t xml:space="preserve">grab clinic </t>
  </si>
  <si>
    <t>grab clinic</t>
  </si>
  <si>
    <t>doctor</t>
  </si>
  <si>
    <t xml:space="preserve">medicine 💊 antibiotics </t>
  </si>
  <si>
    <t>halohalo</t>
  </si>
  <si>
    <t xml:space="preserve"> Wendy's dinner</t>
  </si>
  <si>
    <t>water &amp; donuts</t>
  </si>
  <si>
    <t>Parking</t>
  </si>
  <si>
    <t>TOTAL</t>
  </si>
  <si>
    <t xml:space="preserve">Travel Manila </t>
  </si>
  <si>
    <t>March total</t>
  </si>
  <si>
    <t xml:space="preserve">Tank 1 (multimedia Filter) </t>
  </si>
  <si>
    <t>P23,000</t>
  </si>
  <si>
    <t>Tank 2 (Softener with Brine) 25k</t>
  </si>
  <si>
    <t>P25,000</t>
  </si>
  <si>
    <t xml:space="preserve">UV 6GPM </t>
  </si>
  <si>
    <t>P11,000</t>
  </si>
  <si>
    <t>P59,000</t>
  </si>
  <si>
    <t xml:space="preserve">Trans Asia </t>
  </si>
  <si>
    <t>Marco Polo</t>
  </si>
  <si>
    <t>taxi and terminal fee</t>
  </si>
  <si>
    <t>bonamin</t>
  </si>
  <si>
    <t>patron house food</t>
  </si>
  <si>
    <t>Arrive in Cebu Pier</t>
  </si>
  <si>
    <t>hotel dinner</t>
  </si>
  <si>
    <t>Arrive in CDO</t>
  </si>
  <si>
    <t>skyflakes</t>
  </si>
  <si>
    <t>Travel to Lumbia</t>
  </si>
  <si>
    <t>breakfast buffet briggy</t>
  </si>
  <si>
    <t>Prep For First Session</t>
  </si>
  <si>
    <t>dinner ship</t>
  </si>
  <si>
    <t>1st Session</t>
  </si>
  <si>
    <t>taxi to oceanpark</t>
  </si>
  <si>
    <t xml:space="preserve">Break </t>
  </si>
  <si>
    <t>lunch oceanpark</t>
  </si>
  <si>
    <t>Ceck Out Marco Polo</t>
  </si>
  <si>
    <t>pictures</t>
  </si>
  <si>
    <t>3rd Session</t>
  </si>
  <si>
    <t xml:space="preserve">souvenirs </t>
  </si>
  <si>
    <t xml:space="preserve"> Ocean Park</t>
  </si>
  <si>
    <t>SM</t>
  </si>
  <si>
    <t xml:space="preserve">chips and nail cutter </t>
  </si>
  <si>
    <t>Check in Marco Polo</t>
  </si>
  <si>
    <t>terminal fee</t>
  </si>
  <si>
    <t xml:space="preserve">taxi </t>
  </si>
  <si>
    <t>Depart to Pier</t>
  </si>
  <si>
    <t xml:space="preserve">oceanpark </t>
  </si>
  <si>
    <t>Motor</t>
  </si>
  <si>
    <t>Departure to CDO - Cebu</t>
  </si>
  <si>
    <t>Brunch</t>
  </si>
  <si>
    <t>jco</t>
  </si>
  <si>
    <t xml:space="preserve">Plane Ticket </t>
  </si>
  <si>
    <t>Grab Airport to Pasig</t>
  </si>
  <si>
    <t>Pasig to Cubao Terminal</t>
  </si>
  <si>
    <t xml:space="preserve">Hot choc and bonamin </t>
  </si>
  <si>
    <t>Travel to Urdaneta</t>
  </si>
  <si>
    <t>Cubao to Urdaneta</t>
  </si>
  <si>
    <t>Bauang LU Travel to Baguio</t>
  </si>
  <si>
    <t xml:space="preserve">Urdaneta to SM </t>
  </si>
  <si>
    <t>Travel to Tagaytay</t>
  </si>
  <si>
    <t>Lunch sizzling</t>
  </si>
  <si>
    <t>Breakfast Good taste 😁</t>
  </si>
  <si>
    <t xml:space="preserve">Urdaneta SM to bauang </t>
  </si>
  <si>
    <t>Urdaneta Open House</t>
  </si>
  <si>
    <t>Victory Ticket</t>
  </si>
  <si>
    <t xml:space="preserve"> Mines View</t>
  </si>
  <si>
    <t xml:space="preserve">AirBnb </t>
  </si>
  <si>
    <t>old diplomat hotel</t>
  </si>
  <si>
    <t>Genki sushi</t>
  </si>
  <si>
    <t>Van</t>
  </si>
  <si>
    <t>Tam awan</t>
  </si>
  <si>
    <t>Nina</t>
  </si>
  <si>
    <t>Lunch Farmers Daughter</t>
  </si>
  <si>
    <t>Lunch Good taste/Goto Baden</t>
  </si>
  <si>
    <t>Lunch Rosario by Vikings</t>
  </si>
  <si>
    <t>popompurin</t>
  </si>
  <si>
    <t>SM Baguio - Country Club Bakery</t>
  </si>
  <si>
    <t>goodtaste</t>
  </si>
  <si>
    <t>Check In</t>
  </si>
  <si>
    <t>Travel to Manila</t>
  </si>
  <si>
    <t>minesview</t>
  </si>
  <si>
    <t>Urdaneta to Bauang</t>
  </si>
  <si>
    <t>sleep</t>
  </si>
  <si>
    <t>botanical</t>
  </si>
  <si>
    <t>tamawan</t>
  </si>
  <si>
    <t>Nuvali Pond</t>
  </si>
  <si>
    <t xml:space="preserve">Farmers daughter </t>
  </si>
  <si>
    <t>Burnham Park</t>
  </si>
  <si>
    <t>Dinner  Agara ramen</t>
  </si>
  <si>
    <t xml:space="preserve">street food </t>
  </si>
  <si>
    <t>Wagwagan</t>
  </si>
  <si>
    <t>ukay</t>
  </si>
  <si>
    <t>Nina Concert</t>
  </si>
  <si>
    <t>lunch bus</t>
  </si>
  <si>
    <t>Sleep ila Ate Jez</t>
  </si>
  <si>
    <t>Sleep in Bauang</t>
  </si>
  <si>
    <t>Baguio Night Market</t>
  </si>
  <si>
    <t xml:space="preserve">grab victory to Lexington </t>
  </si>
  <si>
    <t>Back to hotel</t>
  </si>
  <si>
    <t xml:space="preserve">medicine </t>
  </si>
  <si>
    <t>Lexington to bgc</t>
  </si>
  <si>
    <t xml:space="preserve">bgc to Lexington </t>
  </si>
  <si>
    <t>Legends</t>
  </si>
  <si>
    <t>tagaytay tip</t>
  </si>
  <si>
    <t>Sleep</t>
  </si>
  <si>
    <t>Meal</t>
  </si>
  <si>
    <t>subway</t>
  </si>
  <si>
    <t>Travel</t>
  </si>
  <si>
    <t>wendys</t>
  </si>
  <si>
    <t xml:space="preserve">kids food </t>
  </si>
  <si>
    <t xml:space="preserve">grab </t>
  </si>
  <si>
    <t>Excess Baggae</t>
  </si>
  <si>
    <t xml:space="preserve">Mcjolly </t>
  </si>
  <si>
    <t>Barge</t>
  </si>
  <si>
    <t xml:space="preserve">motorela </t>
  </si>
  <si>
    <t>Depart to Balingwan</t>
  </si>
  <si>
    <t>lunch</t>
  </si>
  <si>
    <t>room</t>
  </si>
  <si>
    <t>multicab</t>
  </si>
  <si>
    <t xml:space="preserve">Breakfast </t>
  </si>
  <si>
    <t>lanzones</t>
  </si>
  <si>
    <t>Depart to Camiguin</t>
  </si>
  <si>
    <t>old ruins</t>
  </si>
  <si>
    <t>Sandbar</t>
  </si>
  <si>
    <t>sto nino</t>
  </si>
  <si>
    <t>waffle</t>
  </si>
  <si>
    <t>Check Out</t>
  </si>
  <si>
    <t>grocery</t>
  </si>
  <si>
    <t xml:space="preserve">siopao chicken </t>
  </si>
  <si>
    <t>Soda Water</t>
  </si>
  <si>
    <t>Travel to CDO</t>
  </si>
  <si>
    <t>ardent</t>
  </si>
  <si>
    <t>mangga ginanggang etc</t>
  </si>
  <si>
    <t>chichirya</t>
  </si>
  <si>
    <t>Ardent Spring</t>
  </si>
  <si>
    <t>White island</t>
  </si>
  <si>
    <t>Hotel</t>
  </si>
  <si>
    <t xml:space="preserve">Room  full payment </t>
  </si>
  <si>
    <t>Iligan to CDO</t>
  </si>
  <si>
    <t>222 waffles and others</t>
  </si>
  <si>
    <t>80 sabon shampoo</t>
  </si>
  <si>
    <t>Sleep in Ardent Spring</t>
  </si>
  <si>
    <t>185 saging and others</t>
  </si>
  <si>
    <t>3100 ferry and jeep</t>
  </si>
  <si>
    <t>Sleep CDO</t>
  </si>
  <si>
    <t>350 sandbar</t>
  </si>
  <si>
    <t>Ligo</t>
  </si>
  <si>
    <t xml:space="preserve">total expense </t>
  </si>
  <si>
    <t>Sharon total cash out</t>
  </si>
  <si>
    <t>40% of total expense</t>
  </si>
  <si>
    <t>Sharon remaining payment of the 40%</t>
  </si>
  <si>
    <t xml:space="preserve">60% of total expense </t>
  </si>
  <si>
    <t>Saturday Lunch</t>
  </si>
  <si>
    <t>Abet</t>
  </si>
  <si>
    <t>Burger/Fries</t>
  </si>
  <si>
    <t>Bridget</t>
  </si>
  <si>
    <t>Burger Steak Rice</t>
  </si>
  <si>
    <t>Sophie</t>
  </si>
  <si>
    <t>Chiken Nuggets/Fries</t>
  </si>
  <si>
    <t>Briggy</t>
  </si>
  <si>
    <t>Sharon</t>
  </si>
  <si>
    <t>Ruixi</t>
  </si>
  <si>
    <t>1 Pc Chicken/Rice</t>
  </si>
  <si>
    <t>Dedai</t>
  </si>
  <si>
    <t>Agnes</t>
  </si>
  <si>
    <t>Riquo</t>
  </si>
  <si>
    <t>Domz</t>
  </si>
  <si>
    <t>Nathan</t>
  </si>
  <si>
    <t>Nikki</t>
  </si>
  <si>
    <t>Tyler</t>
  </si>
  <si>
    <t>Maymay</t>
  </si>
  <si>
    <t>Chad</t>
  </si>
  <si>
    <t>??</t>
  </si>
  <si>
    <t>Rhoane</t>
  </si>
  <si>
    <t>Jane</t>
  </si>
  <si>
    <t>Jacob</t>
  </si>
  <si>
    <t>Nanay Rems</t>
  </si>
  <si>
    <t>Jan Jan</t>
  </si>
  <si>
    <t>Cyd</t>
  </si>
  <si>
    <t>Molly</t>
  </si>
  <si>
    <t>Bobot</t>
  </si>
  <si>
    <t>Spaghetti Solo</t>
  </si>
  <si>
    <t>House Improvement cost</t>
  </si>
  <si>
    <t>Light Construction</t>
  </si>
  <si>
    <t>Move in Fee</t>
  </si>
  <si>
    <t>Jureta Loan</t>
  </si>
  <si>
    <t>Pag Ibig Monthly Amortization</t>
  </si>
  <si>
    <t>Manuliife</t>
  </si>
  <si>
    <t xml:space="preserve">Account Number </t>
  </si>
  <si>
    <t>Labor</t>
  </si>
  <si>
    <t>Materials</t>
  </si>
  <si>
    <t>house materials partial down payment</t>
  </si>
  <si>
    <t>Total Amount</t>
  </si>
  <si>
    <t>4789332-6</t>
  </si>
  <si>
    <t xml:space="preserve">Roof elevation </t>
  </si>
  <si>
    <t>DP Labor Cost</t>
  </si>
  <si>
    <t>Cash Advance</t>
  </si>
  <si>
    <t xml:space="preserve">Account Number	</t>
  </si>
  <si>
    <t>4789364-9</t>
  </si>
  <si>
    <t>Ceiling</t>
  </si>
  <si>
    <t>Full Payment Materials</t>
  </si>
  <si>
    <t>Cepalco Payment</t>
  </si>
  <si>
    <t>Mama was Alive</t>
  </si>
  <si>
    <t>Electrical</t>
  </si>
  <si>
    <t>Cepalco Electric</t>
  </si>
  <si>
    <t>Jurets CA</t>
  </si>
  <si>
    <r>
      <rPr>
        <rFont val="Arial"/>
        <b val="0"/>
        <sz val="10.0"/>
      </rPr>
      <t>For Bills Payment To, write</t>
    </r>
    <r>
      <rPr>
        <rFont val="Arial"/>
        <b/>
        <sz val="10.0"/>
      </rPr>
      <t xml:space="preserve"> “LDS-PEF Loan”​</t>
    </r>
  </si>
  <si>
    <t>Balcony</t>
  </si>
  <si>
    <t>Exhaust</t>
  </si>
  <si>
    <t>Pag Ibig</t>
  </si>
  <si>
    <t>Spencer Shipping for wallet</t>
  </si>
  <si>
    <r>
      <rPr>
        <rFont val="Arial"/>
        <b val="0"/>
        <sz val="10.0"/>
      </rPr>
      <t>For Account Name,</t>
    </r>
    <r>
      <rPr>
        <rFont val="Arial"/>
        <b/>
        <sz val="10.0"/>
      </rPr>
      <t xml:space="preserve"> George Albert Oblimar​</t>
    </r>
  </si>
  <si>
    <t>DP/Materials</t>
  </si>
  <si>
    <t xml:space="preserve">Kitchen Flooring </t>
  </si>
  <si>
    <t xml:space="preserve"> </t>
  </si>
  <si>
    <t>Purifier</t>
  </si>
  <si>
    <t>Mama CA</t>
  </si>
  <si>
    <r>
      <rPr>
        <rFont val="Arial"/>
        <sz val="10.0"/>
      </rPr>
      <t xml:space="preserve">For Account No, write PEF participant’s Loan ID Number (Example: </t>
    </r>
    <r>
      <rPr>
        <rFont val="Arial"/>
        <b/>
        <sz val="10.0"/>
      </rPr>
      <t>660087080</t>
    </r>
    <r>
      <rPr>
        <rFont val="Arial"/>
        <sz val="10.0"/>
      </rPr>
      <t>)​</t>
    </r>
  </si>
  <si>
    <t>Tiles</t>
  </si>
  <si>
    <t>Construction Bond</t>
  </si>
  <si>
    <t>Mama Iron</t>
  </si>
  <si>
    <r>
      <rPr/>
      <t xml:space="preserve">For Call/Contact No., write PEF participant’s cellphone number (Example: </t>
    </r>
    <r>
      <rPr>
        <b/>
      </rPr>
      <t>09978712357</t>
    </r>
    <r>
      <rPr/>
      <t>)​</t>
    </r>
  </si>
  <si>
    <t>Kitchen Sink</t>
  </si>
  <si>
    <t>Flooring gawas</t>
  </si>
  <si>
    <t>UV Lamp</t>
  </si>
  <si>
    <t>Transfer Mama CA</t>
  </si>
  <si>
    <t>Mark “X” the Php currency sign</t>
  </si>
  <si>
    <t>Paint</t>
  </si>
  <si>
    <t>Cepalco Arears</t>
  </si>
  <si>
    <t>Electric/Water/PC payment</t>
  </si>
  <si>
    <t>Amount PHP</t>
  </si>
  <si>
    <t>Sink</t>
  </si>
  <si>
    <t xml:space="preserve">Tiles </t>
  </si>
  <si>
    <t>Sink Frame</t>
  </si>
  <si>
    <t>Mama Laton Biscuit</t>
  </si>
  <si>
    <t xml:space="preserve">labor </t>
  </si>
  <si>
    <t>Total Labor</t>
  </si>
  <si>
    <t xml:space="preserve">Table </t>
  </si>
  <si>
    <t>materials</t>
  </si>
  <si>
    <t>Total Materials</t>
  </si>
  <si>
    <t>Meter Deposit</t>
  </si>
  <si>
    <t>Cash Advance - Mama/Spencer</t>
  </si>
  <si>
    <t>Full</t>
  </si>
  <si>
    <t>Total Expense:</t>
  </si>
  <si>
    <t>Stove stand</t>
  </si>
  <si>
    <t>Cash Advance (Icecream)</t>
  </si>
  <si>
    <t>Washing Machine</t>
  </si>
  <si>
    <t xml:space="preserve">Internet Parasat </t>
  </si>
  <si>
    <t>Refrigerator (Inverter)</t>
  </si>
  <si>
    <t xml:space="preserve">Cash Advance </t>
  </si>
  <si>
    <t xml:space="preserve">Initial Construction pre move in </t>
  </si>
  <si>
    <t>Moving Fee (truck/others)</t>
  </si>
  <si>
    <t>Cash advance (water)</t>
  </si>
  <si>
    <t>Item</t>
  </si>
  <si>
    <t>Quantity</t>
  </si>
  <si>
    <t>Price--------------</t>
  </si>
  <si>
    <t>Renovation (full payment)</t>
  </si>
  <si>
    <t>Mama House Rent</t>
  </si>
  <si>
    <t>Canopy</t>
  </si>
  <si>
    <t xml:space="preserve">Double Furring 19x50x5000 </t>
  </si>
  <si>
    <t>14 pcs</t>
  </si>
  <si>
    <t>Bathroom Stuff</t>
  </si>
  <si>
    <t>Spencer Cellphone</t>
  </si>
  <si>
    <t>Mama was in the Hospital</t>
  </si>
  <si>
    <t>Studs 35x75x3m</t>
  </si>
  <si>
    <t>16 pcs</t>
  </si>
  <si>
    <t>Bookshelf</t>
  </si>
  <si>
    <t>Mama Medical</t>
  </si>
  <si>
    <t xml:space="preserve">tracks 32x76x5m     </t>
  </si>
  <si>
    <t>4 pcs</t>
  </si>
  <si>
    <t>Blinds</t>
  </si>
  <si>
    <t>Mama Dialysis and Meds</t>
  </si>
  <si>
    <t>division and bed and cabinet</t>
  </si>
  <si>
    <t xml:space="preserve">Carrying Channel 38x12x5000     </t>
  </si>
  <si>
    <t>Chair and Book shelf</t>
  </si>
  <si>
    <t xml:space="preserve">Mama Dialysis </t>
  </si>
  <si>
    <t>marine and nail</t>
  </si>
  <si>
    <t xml:space="preserve">Double u clip     </t>
  </si>
  <si>
    <t>35 pcs</t>
  </si>
  <si>
    <t>Kitchen stuff</t>
  </si>
  <si>
    <t>Oro Gardens</t>
  </si>
  <si>
    <t>Mama Dead</t>
  </si>
  <si>
    <t>body fillers rivets etc</t>
  </si>
  <si>
    <t xml:space="preserve">Hardyflex 4x8ftx4.5mm     </t>
  </si>
  <si>
    <t>15 pcs</t>
  </si>
  <si>
    <t>Roofing</t>
  </si>
  <si>
    <t>Divine Shephered</t>
  </si>
  <si>
    <t xml:space="preserve">hardiflex and studs </t>
  </si>
  <si>
    <t xml:space="preserve">hardie Screw  1/2     </t>
  </si>
  <si>
    <t>1 Set (1000pcs)</t>
  </si>
  <si>
    <t>Light Fixture</t>
  </si>
  <si>
    <t>Spencer rent</t>
  </si>
  <si>
    <t xml:space="preserve">cash advance </t>
  </si>
  <si>
    <t xml:space="preserve">Blind rivets 1/8 x 3/4     </t>
  </si>
  <si>
    <t>1000 pcs</t>
  </si>
  <si>
    <t>Farlings and Fixtures</t>
  </si>
  <si>
    <t>Mama CU Hospital</t>
  </si>
  <si>
    <t>admin fee</t>
  </si>
  <si>
    <t xml:space="preserve">t nail or T 25     </t>
  </si>
  <si>
    <t>100 pcs</t>
  </si>
  <si>
    <t>Roof Labor</t>
  </si>
  <si>
    <t>Less Total Deduction</t>
  </si>
  <si>
    <t xml:space="preserve">roller </t>
  </si>
  <si>
    <t xml:space="preserve">Paint roller/tray 7 inches      </t>
  </si>
  <si>
    <t>1 set</t>
  </si>
  <si>
    <t>Glassware</t>
  </si>
  <si>
    <t>Remaining Jureta Loan</t>
  </si>
  <si>
    <t>hinges</t>
  </si>
  <si>
    <t xml:space="preserve">Paint brush - 2 inches     </t>
  </si>
  <si>
    <t>2 pcs</t>
  </si>
  <si>
    <t>Unitop Kitchen Stuff</t>
  </si>
  <si>
    <t>door knob and wire</t>
  </si>
  <si>
    <t xml:space="preserve">primer latex     </t>
  </si>
  <si>
    <t>4 gallon</t>
  </si>
  <si>
    <t>Bricks</t>
  </si>
  <si>
    <t>paint and stuff</t>
  </si>
  <si>
    <t xml:space="preserve">Wall angle 25x25x2500     </t>
  </si>
  <si>
    <t>8 pcs</t>
  </si>
  <si>
    <t xml:space="preserve">door hinge and paint </t>
  </si>
  <si>
    <t xml:space="preserve">drill bit 1/8      </t>
  </si>
  <si>
    <t>marine x2 and door handle</t>
  </si>
  <si>
    <t xml:space="preserve">skim coat     </t>
  </si>
  <si>
    <t>1 bags</t>
  </si>
  <si>
    <t>CR mirror</t>
  </si>
  <si>
    <t>labor</t>
  </si>
  <si>
    <t xml:space="preserve">sand paper  #80     </t>
  </si>
  <si>
    <t>10 pcs</t>
  </si>
  <si>
    <t>Screen Door and Mirror</t>
  </si>
  <si>
    <t>paint</t>
  </si>
  <si>
    <t xml:space="preserve">tile trim for steps or stair nosing    </t>
  </si>
  <si>
    <t>Drawer, Faucets and pipes, Broom</t>
  </si>
  <si>
    <t xml:space="preserve">fiberglass mesh tape     </t>
  </si>
  <si>
    <t>Window</t>
  </si>
  <si>
    <t xml:space="preserve">tox screw 1/4     </t>
  </si>
  <si>
    <t>50pcs</t>
  </si>
  <si>
    <t xml:space="preserve">no more nail 100g     </t>
  </si>
  <si>
    <t xml:space="preserve">ceiling fans </t>
  </si>
  <si>
    <t xml:space="preserve">door jamb and door 70cm    </t>
  </si>
  <si>
    <t>1 pcs</t>
  </si>
  <si>
    <t xml:space="preserve">installation </t>
  </si>
  <si>
    <t xml:space="preserve">redifex 1 gallon     </t>
  </si>
  <si>
    <t>2pcs</t>
  </si>
  <si>
    <t xml:space="preserve">baby roller     </t>
  </si>
  <si>
    <t>1pcs</t>
  </si>
  <si>
    <t>Expenses</t>
  </si>
  <si>
    <t xml:space="preserve">a &amp; b epoxy     </t>
  </si>
  <si>
    <t>1 qrt</t>
  </si>
  <si>
    <t>Hollow Blocks Cement etc. (Wall+ceiling)</t>
  </si>
  <si>
    <t xml:space="preserve">enamel paint     </t>
  </si>
  <si>
    <t>Nail and Electrical hose</t>
  </si>
  <si>
    <t>Alcuba</t>
  </si>
  <si>
    <t xml:space="preserve">body filler     </t>
  </si>
  <si>
    <t>Door Jam</t>
  </si>
  <si>
    <t>Wall side</t>
  </si>
  <si>
    <t>Wall and front pile</t>
  </si>
  <si>
    <t xml:space="preserve">thhn wire #14     </t>
  </si>
  <si>
    <t>20 meters</t>
  </si>
  <si>
    <t xml:space="preserve">tiles </t>
  </si>
  <si>
    <t>Window Transfer</t>
  </si>
  <si>
    <t xml:space="preserve">flexible tube electrical 1/2     </t>
  </si>
  <si>
    <t>10 meters</t>
  </si>
  <si>
    <t>Electical Wire and switches</t>
  </si>
  <si>
    <t>Wiring</t>
  </si>
  <si>
    <t xml:space="preserve">TCL 2hp Aircon </t>
  </si>
  <si>
    <t xml:space="preserve">utility box     </t>
  </si>
  <si>
    <t>2 pc</t>
  </si>
  <si>
    <t>corner lights x4</t>
  </si>
  <si>
    <t>Tiles/Flooring</t>
  </si>
  <si>
    <t xml:space="preserve">tile grout     </t>
  </si>
  <si>
    <t>2 bags</t>
  </si>
  <si>
    <t>Rivets</t>
  </si>
  <si>
    <t>Couch Re Upholster</t>
  </si>
  <si>
    <t xml:space="preserve">electrical tape    </t>
  </si>
  <si>
    <t>1pc</t>
  </si>
  <si>
    <t xml:space="preserve">Cement For Floor and Farling </t>
  </si>
  <si>
    <t xml:space="preserve">Door </t>
  </si>
  <si>
    <t>Door Transfer/Jam</t>
  </si>
  <si>
    <t>Recliner Re Upholster</t>
  </si>
  <si>
    <t xml:space="preserve">cement     </t>
  </si>
  <si>
    <t>8 bags</t>
  </si>
  <si>
    <t>ceiling fan</t>
  </si>
  <si>
    <t xml:space="preserve">find sand     </t>
  </si>
  <si>
    <t>14 bags</t>
  </si>
  <si>
    <t xml:space="preserve">Skim coat and wiring </t>
  </si>
  <si>
    <t>CR Reno</t>
  </si>
  <si>
    <t xml:space="preserve">tile adhesive     </t>
  </si>
  <si>
    <t>9 bags</t>
  </si>
  <si>
    <t xml:space="preserve">Outside lamp </t>
  </si>
  <si>
    <t>Paint and Shelf</t>
  </si>
  <si>
    <t xml:space="preserve">coco lumber 2x2x8     </t>
  </si>
  <si>
    <t>12 pcs</t>
  </si>
  <si>
    <t>Skikm Coat</t>
  </si>
  <si>
    <t>Sliding Door</t>
  </si>
  <si>
    <t xml:space="preserve">common nails 4 inches     </t>
  </si>
  <si>
    <t>1kg</t>
  </si>
  <si>
    <t xml:space="preserve">Labor for wall </t>
  </si>
  <si>
    <t>Tiles 60x60</t>
  </si>
  <si>
    <t>107 pcs</t>
  </si>
  <si>
    <t>Window Seal</t>
  </si>
  <si>
    <t>Remaining Labor</t>
  </si>
  <si>
    <t>Heat Insulation Foam</t>
  </si>
  <si>
    <t>25 mtrs</t>
  </si>
  <si>
    <t>Door Knob</t>
  </si>
  <si>
    <t>Labor for Alcuba and Tiles</t>
  </si>
  <si>
    <t>Hinges</t>
  </si>
  <si>
    <t xml:space="preserve">Labor for wiring </t>
  </si>
  <si>
    <t xml:space="preserve">. </t>
  </si>
  <si>
    <t>Delivery Charge</t>
  </si>
  <si>
    <t>farling and tec screw</t>
  </si>
  <si>
    <t>Paint and brushes</t>
  </si>
  <si>
    <t>Skim coat</t>
  </si>
  <si>
    <t>CONSKRAFT BUILDERS BUILDING CONSTRUCTION</t>
  </si>
  <si>
    <t>Cement and balas</t>
  </si>
  <si>
    <t>Account Number:</t>
  </si>
  <si>
    <t>003110169996</t>
  </si>
  <si>
    <t>Remaining Gastos</t>
  </si>
  <si>
    <t>Downpayment</t>
  </si>
  <si>
    <t>Sealant</t>
  </si>
  <si>
    <t>Balance</t>
  </si>
  <si>
    <t>Dining table and chair</t>
  </si>
  <si>
    <t>Iphone</t>
  </si>
  <si>
    <t>Apple</t>
  </si>
  <si>
    <t>CPU</t>
  </si>
  <si>
    <t>Car Android</t>
  </si>
  <si>
    <t>Dates</t>
  </si>
  <si>
    <t>Description</t>
  </si>
  <si>
    <t>Hours</t>
  </si>
  <si>
    <t>Rate per Hour</t>
  </si>
  <si>
    <t>Admin Service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</si>
</sst>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[$P]#,##0.00"/>
    <numFmt numFmtId="165" formatCode="[$₱]#,##0.00"/>
    <numFmt numFmtId="166" formatCode="mmmm d, yyyy"/>
    <numFmt numFmtId="167" formatCode="mm/dd/yyyy"/>
    <numFmt numFmtId="168" formatCode="M/d/yyyy"/>
    <numFmt numFmtId="169" formatCode="mm/dd/yy"/>
    <numFmt numFmtId="170" formatCode="m/d/yyyy"/>
    <numFmt numFmtId="171" formatCode="mmmm d"/>
    <numFmt numFmtId="172" formatCode="mmmm yyyy"/>
    <numFmt numFmtId="173" formatCode="mmm yyyy"/>
    <numFmt numFmtId="174" formatCode="&quot;$&quot;#,##0"/>
    <numFmt numFmtId="175" formatCode="mmmm d yyyy"/>
    <numFmt numFmtId="176" formatCode="h:mm am/pm"/>
    <numFmt numFmtId="177" formatCode="mmm d"/>
    <numFmt numFmtId="178" formatCode="dddd mmmm d, yyyy"/>
    <numFmt numFmtId="179" formatCode="m/d/yyyy h:mm:ss"/>
    <numFmt numFmtId="180" formatCode="m/d"/>
    <numFmt numFmtId="181" formatCode="mmm d, yyyy"/>
    <numFmt numFmtId="182" formatCode="&quot;$&quot;#,##0.00"/>
  </numFmts>
  <fonts count="28">
    <font>
      <sz val="10.0"/>
      <color rgb="FF000000"/>
      <name val="Arial"/>
    </font>
    <font>
      <b/>
      <sz val="10.0"/>
      <name val="Arial"/>
    </font>
    <font>
      <b/>
      <sz val="10.0"/>
      <color rgb="FF000000"/>
      <name val="Arial"/>
    </font>
    <font>
      <b/>
      <sz val="10.0"/>
      <color rgb="FFFFFFFF"/>
      <name val="Arial"/>
    </font>
    <font/>
    <font>
      <sz val="10.0"/>
      <name val="Arial"/>
    </font>
    <font>
      <color rgb="FF000000"/>
      <name val="Arial"/>
    </font>
    <font>
      <name val="Arial"/>
    </font>
    <font>
      <b/>
      <sz val="10.0"/>
      <color rgb="FFFF0000"/>
      <name val="Arial"/>
    </font>
    <font>
      <b/>
      <color rgb="FF000000"/>
    </font>
    <font>
      <b/>
    </font>
    <font>
      <b/>
      <color rgb="FFFFFFFF"/>
    </font>
    <font>
      <sz val="9.0"/>
      <color rgb="FF222222"/>
      <name val="Arial"/>
    </font>
    <font>
      <b/>
      <color rgb="FF980000"/>
    </font>
    <font>
      <color rgb="FF000000"/>
    </font>
    <font>
      <sz val="10.0"/>
      <color rgb="FF0E0F0C"/>
      <name val="Inter"/>
    </font>
    <font>
      <b/>
      <color rgb="FF000000"/>
      <name val="Arial"/>
    </font>
    <font>
      <b/>
      <sz val="13.0"/>
    </font>
    <font>
      <b/>
      <color rgb="FFFFFFFF"/>
      <name val="Arial"/>
    </font>
    <font>
      <b/>
      <sz val="12.0"/>
    </font>
    <font>
      <b/>
      <name val="Arial"/>
    </font>
    <font>
      <b/>
      <color rgb="FFFF0000"/>
      <name val="Arial"/>
    </font>
    <font>
      <b/>
      <sz val="10.0"/>
      <color rgb="FFE06666"/>
      <name val="Arial"/>
    </font>
    <font>
      <b/>
      <color rgb="FFFF0000"/>
    </font>
    <font>
      <sz val="10.0"/>
      <color rgb="FFFF0000"/>
      <name val="Arial"/>
    </font>
    <font>
      <sz val="10.0"/>
      <color rgb="FF5D5D5D"/>
      <name val="Arial"/>
    </font>
    <font>
      <b/>
      <sz val="11.0"/>
      <color rgb="FF000000"/>
      <name val="Arial"/>
    </font>
    <font>
      <sz val="11.0"/>
      <color rgb="FF000000"/>
      <name val="Arial"/>
    </font>
  </fonts>
  <fills count="51">
    <fill>
      <patternFill patternType="none"/>
    </fill>
    <fill>
      <patternFill patternType="lightGray"/>
    </fill>
    <fill>
      <patternFill patternType="solid">
        <fgColor rgb="FF4C1130"/>
        <bgColor rgb="FF4C1130"/>
      </patternFill>
    </fill>
    <fill>
      <patternFill patternType="solid">
        <fgColor rgb="FFBF9000"/>
        <bgColor rgb="FFBF9000"/>
      </patternFill>
    </fill>
    <fill>
      <patternFill patternType="solid">
        <fgColor rgb="FF134F5C"/>
        <bgColor rgb="FF134F5C"/>
      </patternFill>
    </fill>
    <fill>
      <patternFill patternType="solid">
        <fgColor rgb="FF1155CC"/>
        <bgColor rgb="FF1155CC"/>
      </patternFill>
    </fill>
    <fill>
      <patternFill patternType="solid">
        <fgColor rgb="FFFF9900"/>
        <bgColor rgb="FFFF9900"/>
      </patternFill>
    </fill>
    <fill>
      <patternFill patternType="solid">
        <fgColor rgb="FF741B47"/>
        <bgColor rgb="FF741B47"/>
      </patternFill>
    </fill>
    <fill>
      <patternFill patternType="solid">
        <fgColor rgb="FF351C75"/>
        <bgColor rgb="FF351C75"/>
      </patternFill>
    </fill>
    <fill>
      <patternFill patternType="solid">
        <fgColor rgb="FF85200C"/>
        <bgColor rgb="FF85200C"/>
      </patternFill>
    </fill>
    <fill>
      <patternFill patternType="solid">
        <fgColor rgb="FF990000"/>
        <bgColor rgb="FF990000"/>
      </patternFill>
    </fill>
    <fill>
      <patternFill patternType="solid">
        <fgColor rgb="FFB45F06"/>
        <bgColor rgb="FFB45F06"/>
      </patternFill>
    </fill>
    <fill>
      <patternFill patternType="solid">
        <fgColor rgb="FFCC0000"/>
        <bgColor rgb="FFCC0000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45818E"/>
        <bgColor rgb="FF45818E"/>
      </patternFill>
    </fill>
    <fill>
      <patternFill patternType="solid">
        <fgColor rgb="FF9900FF"/>
        <bgColor rgb="FF9900FF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DD7E6B"/>
        <bgColor rgb="FFDD7E6B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CE4D6"/>
        <bgColor rgb="FFFCE4D6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F1C232"/>
        <bgColor rgb="FFF1C232"/>
      </patternFill>
    </fill>
    <fill>
      <patternFill patternType="solid">
        <fgColor rgb="FFE06666"/>
        <bgColor rgb="FFE06666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980000"/>
        <bgColor rgb="FF980000"/>
      </patternFill>
    </fill>
    <fill>
      <patternFill patternType="solid">
        <fgColor rgb="FF0B5394"/>
        <bgColor rgb="FF0B5394"/>
      </patternFill>
    </fill>
    <fill>
      <patternFill patternType="solid">
        <fgColor rgb="FFEA9999"/>
        <bgColor rgb="FFEA9999"/>
      </patternFill>
    </fill>
    <fill>
      <patternFill patternType="solid">
        <fgColor rgb="FFE6B8AF"/>
        <bgColor rgb="FFE6B8AF"/>
      </patternFill>
    </fill>
    <fill>
      <patternFill patternType="solid">
        <fgColor rgb="FFEDEDED"/>
        <bgColor rgb="FFEDEDED"/>
      </patternFill>
    </fill>
    <fill>
      <patternFill patternType="solid">
        <fgColor rgb="FFECECEC"/>
        <bgColor rgb="FFECECEC"/>
      </patternFill>
    </fill>
    <fill>
      <patternFill patternType="solid">
        <fgColor rgb="FFCDCDCD"/>
        <bgColor rgb="FFCDCDCD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6FA8DC"/>
        <bgColor rgb="FF6FA8DC"/>
      </patternFill>
    </fill>
    <fill>
      <patternFill patternType="solid">
        <fgColor rgb="FF674EA7"/>
        <bgColor rgb="FF674EA7"/>
      </patternFill>
    </fill>
    <fill>
      <patternFill patternType="solid">
        <fgColor rgb="FFC27BA0"/>
        <bgColor rgb="FFC27BA0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6AA84F"/>
        <bgColor rgb="FF6AA84F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</fills>
  <borders count="25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8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2" fontId="3" numFmtId="0" xfId="0" applyAlignment="1" applyFill="1" applyFont="1">
      <alignment readingOrder="0" shrinkToFit="0" vertical="center" wrapText="1"/>
    </xf>
    <xf borderId="0" fillId="3" fontId="3" numFmtId="0" xfId="0" applyAlignment="1" applyFill="1" applyFont="1">
      <alignment readingOrder="0" shrinkToFit="0" vertical="center" wrapText="1"/>
    </xf>
    <xf borderId="0" fillId="4" fontId="3" numFmtId="0" xfId="0" applyAlignment="1" applyFill="1" applyFont="1">
      <alignment readingOrder="0" shrinkToFit="0" vertical="center" wrapText="1"/>
    </xf>
    <xf borderId="0" fillId="5" fontId="3" numFmtId="0" xfId="0" applyAlignment="1" applyFill="1" applyFont="1">
      <alignment readingOrder="0" shrinkToFit="0" vertical="center" wrapText="1"/>
    </xf>
    <xf borderId="0" fillId="6" fontId="3" numFmtId="0" xfId="0" applyAlignment="1" applyFill="1" applyFont="1">
      <alignment readingOrder="0" shrinkToFit="0" vertical="center" wrapText="1"/>
    </xf>
    <xf borderId="0" fillId="7" fontId="3" numFmtId="0" xfId="0" applyAlignment="1" applyFill="1" applyFont="1">
      <alignment readingOrder="0" shrinkToFit="0" vertical="center" wrapText="1"/>
    </xf>
    <xf borderId="0" fillId="8" fontId="3" numFmtId="0" xfId="0" applyAlignment="1" applyFill="1" applyFont="1">
      <alignment readingOrder="0" shrinkToFit="0" vertical="center" wrapText="1"/>
    </xf>
    <xf borderId="0" fillId="9" fontId="3" numFmtId="0" xfId="0" applyAlignment="1" applyFill="1" applyFont="1">
      <alignment readingOrder="0" shrinkToFit="0" vertical="center" wrapText="1"/>
    </xf>
    <xf borderId="0" fillId="10" fontId="3" numFmtId="0" xfId="0" applyAlignment="1" applyFill="1" applyFont="1">
      <alignment readingOrder="0" shrinkToFit="0" vertical="center" wrapText="1"/>
    </xf>
    <xf borderId="0" fillId="11" fontId="3" numFmtId="0" xfId="0" applyAlignment="1" applyFill="1" applyFont="1">
      <alignment readingOrder="0" shrinkToFit="0" vertical="center" wrapText="1"/>
    </xf>
    <xf borderId="0" fillId="12" fontId="3" numFmtId="0" xfId="0" applyAlignment="1" applyFill="1" applyFont="1">
      <alignment readingOrder="0" shrinkToFit="0" vertical="center" wrapText="1"/>
    </xf>
    <xf borderId="0" fillId="13" fontId="3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14" fontId="1" numFmtId="3" xfId="0" applyAlignment="1" applyFill="1" applyFont="1" applyNumberFormat="1">
      <alignment readingOrder="0"/>
    </xf>
    <xf borderId="0" fillId="14" fontId="1" numFmtId="3" xfId="0" applyFont="1" applyNumberFormat="1"/>
    <xf borderId="0" fillId="0" fontId="4" numFmtId="0" xfId="0" applyAlignment="1" applyFont="1">
      <alignment readingOrder="0"/>
    </xf>
    <xf borderId="0" fillId="0" fontId="5" numFmtId="3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15" fontId="5" numFmtId="3" xfId="0" applyAlignment="1" applyFill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165" xfId="0" applyFont="1" applyNumberFormat="1"/>
    <xf borderId="0" fillId="15" fontId="5" numFmtId="3" xfId="0" applyAlignment="1" applyFont="1" applyNumberFormat="1">
      <alignment readingOrder="0"/>
    </xf>
    <xf borderId="0" fillId="15" fontId="5" numFmtId="165" xfId="0" applyFont="1" applyNumberFormat="1"/>
    <xf borderId="0" fillId="0" fontId="4" numFmtId="3" xfId="0" applyAlignment="1" applyFont="1" applyNumberFormat="1">
      <alignment readingOrder="0"/>
    </xf>
    <xf borderId="0" fillId="15" fontId="6" numFmtId="3" xfId="0" applyAlignment="1" applyFont="1" applyNumberFormat="1">
      <alignment horizontal="right" readingOrder="0"/>
    </xf>
    <xf borderId="0" fillId="16" fontId="5" numFmtId="3" xfId="0" applyAlignment="1" applyFill="1" applyFont="1" applyNumberFormat="1">
      <alignment readingOrder="0"/>
    </xf>
    <xf borderId="0" fillId="0" fontId="4" numFmtId="3" xfId="0" applyFont="1" applyNumberFormat="1"/>
    <xf borderId="0" fillId="0" fontId="7" numFmtId="3" xfId="0" applyAlignment="1" applyFont="1" applyNumberFormat="1">
      <alignment vertical="bottom"/>
    </xf>
    <xf borderId="0" fillId="0" fontId="4" numFmtId="4" xfId="0" applyAlignment="1" applyFont="1" applyNumberFormat="1">
      <alignment readingOrder="0"/>
    </xf>
    <xf borderId="0" fillId="0" fontId="4" numFmtId="3" xfId="0" applyAlignment="1" applyFont="1" applyNumberFormat="1">
      <alignment horizontal="right" readingOrder="0"/>
    </xf>
    <xf borderId="0" fillId="0" fontId="5" numFmtId="0" xfId="0" applyAlignment="1" applyFont="1">
      <alignment readingOrder="0"/>
    </xf>
    <xf borderId="0" fillId="14" fontId="5" numFmtId="3" xfId="0" applyAlignment="1" applyFont="1" applyNumberFormat="1">
      <alignment readingOrder="0"/>
    </xf>
    <xf borderId="0" fillId="0" fontId="1" numFmtId="3" xfId="0" applyFont="1" applyNumberFormat="1"/>
    <xf borderId="0" fillId="0" fontId="8" numFmtId="3" xfId="0" applyFont="1" applyNumberFormat="1"/>
    <xf borderId="0" fillId="0" fontId="1" numFmtId="3" xfId="0" applyAlignment="1" applyFont="1" applyNumberFormat="1">
      <alignment readingOrder="0"/>
    </xf>
    <xf borderId="0" fillId="0" fontId="1" numFmtId="3" xfId="0" applyFont="1" applyNumberFormat="1"/>
    <xf borderId="0" fillId="0" fontId="3" numFmtId="0" xfId="0" applyAlignment="1" applyFont="1">
      <alignment readingOrder="0"/>
    </xf>
    <xf borderId="1" fillId="9" fontId="3" numFmtId="0" xfId="0" applyAlignment="1" applyBorder="1" applyFont="1">
      <alignment readingOrder="0"/>
    </xf>
    <xf borderId="1" fillId="10" fontId="3" numFmtId="0" xfId="0" applyAlignment="1" applyBorder="1" applyFont="1">
      <alignment readingOrder="0" shrinkToFit="0" wrapText="1"/>
    </xf>
    <xf borderId="2" fillId="11" fontId="3" numFmtId="0" xfId="0" applyAlignment="1" applyBorder="1" applyFont="1">
      <alignment readingOrder="0" shrinkToFit="0" wrapText="1"/>
    </xf>
    <xf borderId="2" fillId="17" fontId="3" numFmtId="0" xfId="0" applyAlignment="1" applyBorder="1" applyFill="1" applyFont="1">
      <alignment readingOrder="0" shrinkToFit="0" wrapText="1"/>
    </xf>
    <xf borderId="2" fillId="5" fontId="3" numFmtId="0" xfId="0" applyAlignment="1" applyBorder="1" applyFont="1">
      <alignment readingOrder="0" shrinkToFit="0" wrapText="1"/>
    </xf>
    <xf borderId="2" fillId="18" fontId="3" numFmtId="0" xfId="0" applyAlignment="1" applyBorder="1" applyFill="1" applyFont="1">
      <alignment readingOrder="0" shrinkToFit="0" wrapText="1"/>
    </xf>
    <xf borderId="3" fillId="19" fontId="3" numFmtId="0" xfId="0" applyAlignment="1" applyBorder="1" applyFill="1" applyFont="1">
      <alignment readingOrder="0"/>
    </xf>
    <xf borderId="3" fillId="19" fontId="5" numFmtId="0" xfId="0" applyBorder="1" applyFont="1"/>
    <xf borderId="3" fillId="0" fontId="1" numFmtId="0" xfId="0" applyAlignment="1" applyBorder="1" applyFont="1">
      <alignment readingOrder="0"/>
    </xf>
    <xf borderId="3" fillId="0" fontId="1" numFmtId="165" xfId="0" applyAlignment="1" applyBorder="1" applyFont="1" applyNumberFormat="1">
      <alignment horizontal="right" readingOrder="0"/>
    </xf>
    <xf borderId="3" fillId="0" fontId="9" numFmtId="165" xfId="0" applyAlignment="1" applyBorder="1" applyFont="1" applyNumberFormat="1">
      <alignment horizontal="right" readingOrder="0"/>
    </xf>
    <xf borderId="3" fillId="0" fontId="2" numFmtId="165" xfId="0" applyAlignment="1" applyBorder="1" applyFont="1" applyNumberFormat="1">
      <alignment readingOrder="0"/>
    </xf>
    <xf borderId="3" fillId="0" fontId="2" numFmtId="165" xfId="0" applyBorder="1" applyFont="1" applyNumberFormat="1"/>
    <xf borderId="3" fillId="10" fontId="3" numFmtId="0" xfId="0" applyAlignment="1" applyBorder="1" applyFont="1">
      <alignment readingOrder="0"/>
    </xf>
    <xf borderId="3" fillId="10" fontId="3" numFmtId="165" xfId="0" applyAlignment="1" applyBorder="1" applyFont="1" applyNumberFormat="1">
      <alignment readingOrder="0"/>
    </xf>
    <xf borderId="0" fillId="0" fontId="10" numFmtId="0" xfId="0" applyAlignment="1" applyFont="1">
      <alignment readingOrder="0"/>
    </xf>
    <xf borderId="3" fillId="0" fontId="1" numFmtId="0" xfId="0" applyAlignment="1" applyBorder="1" applyFont="1">
      <alignment readingOrder="0" shrinkToFit="0" wrapText="0"/>
    </xf>
    <xf borderId="4" fillId="15" fontId="9" numFmtId="165" xfId="0" applyAlignment="1" applyBorder="1" applyFont="1" applyNumberFormat="1">
      <alignment horizontal="right" readingOrder="0"/>
    </xf>
    <xf borderId="4" fillId="0" fontId="2" numFmtId="165" xfId="0" applyAlignment="1" applyBorder="1" applyFont="1" applyNumberFormat="1">
      <alignment readingOrder="0"/>
    </xf>
    <xf borderId="3" fillId="20" fontId="11" numFmtId="0" xfId="0" applyAlignment="1" applyBorder="1" applyFill="1" applyFont="1">
      <alignment readingOrder="0" shrinkToFit="0" wrapText="1"/>
    </xf>
    <xf borderId="3" fillId="13" fontId="11" numFmtId="0" xfId="0" applyAlignment="1" applyBorder="1" applyFont="1">
      <alignment horizontal="center" readingOrder="0" vertical="center"/>
    </xf>
    <xf borderId="0" fillId="15" fontId="12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3" fillId="21" fontId="3" numFmtId="0" xfId="0" applyAlignment="1" applyBorder="1" applyFill="1" applyFont="1">
      <alignment readingOrder="0"/>
    </xf>
    <xf borderId="4" fillId="21" fontId="3" numFmtId="165" xfId="0" applyAlignment="1" applyBorder="1" applyFont="1" applyNumberFormat="1">
      <alignment readingOrder="0"/>
    </xf>
    <xf borderId="3" fillId="22" fontId="3" numFmtId="165" xfId="0" applyBorder="1" applyFill="1" applyFont="1" applyNumberFormat="1"/>
    <xf borderId="3" fillId="23" fontId="13" numFmtId="165" xfId="0" applyAlignment="1" applyBorder="1" applyFill="1" applyFont="1" applyNumberFormat="1">
      <alignment horizontal="left"/>
    </xf>
    <xf borderId="3" fillId="14" fontId="10" numFmtId="165" xfId="0" applyAlignment="1" applyBorder="1" applyFont="1" applyNumberFormat="1">
      <alignment horizontal="center"/>
    </xf>
    <xf borderId="0" fillId="0" fontId="4" numFmtId="166" xfId="0" applyAlignment="1" applyFont="1" applyNumberFormat="1">
      <alignment horizontal="left" readingOrder="0"/>
    </xf>
    <xf borderId="5" fillId="24" fontId="2" numFmtId="0" xfId="0" applyAlignment="1" applyBorder="1" applyFill="1" applyFont="1">
      <alignment horizontal="center" readingOrder="0" shrinkToFit="0" vertical="bottom" wrapText="0"/>
    </xf>
    <xf borderId="6" fillId="0" fontId="4" numFmtId="0" xfId="0" applyBorder="1" applyFont="1"/>
    <xf borderId="3" fillId="15" fontId="2" numFmtId="0" xfId="0" applyAlignment="1" applyBorder="1" applyFont="1">
      <alignment horizontal="center" readingOrder="0" shrinkToFit="0" vertical="bottom" wrapText="1"/>
    </xf>
    <xf borderId="3" fillId="25" fontId="2" numFmtId="0" xfId="0" applyAlignment="1" applyBorder="1" applyFill="1" applyFont="1">
      <alignment horizontal="center" readingOrder="0" shrinkToFit="0" vertical="bottom" wrapText="1"/>
    </xf>
    <xf borderId="5" fillId="25" fontId="2" numFmtId="0" xfId="0" applyAlignment="1" applyBorder="1" applyFont="1">
      <alignment horizontal="center" readingOrder="0" shrinkToFit="0" vertical="bottom" wrapText="0"/>
    </xf>
    <xf borderId="0" fillId="0" fontId="4" numFmtId="4" xfId="0" applyFont="1" applyNumberFormat="1"/>
    <xf borderId="3" fillId="26" fontId="2" numFmtId="0" xfId="0" applyAlignment="1" applyBorder="1" applyFill="1" applyFont="1">
      <alignment horizontal="center" readingOrder="0" shrinkToFit="0" vertical="bottom" wrapText="0"/>
    </xf>
    <xf borderId="3" fillId="0" fontId="5" numFmtId="165" xfId="0" applyBorder="1" applyFont="1" applyNumberFormat="1"/>
    <xf borderId="3" fillId="0" fontId="4" numFmtId="0" xfId="0" applyAlignment="1" applyBorder="1" applyFont="1">
      <alignment horizontal="center"/>
    </xf>
    <xf borderId="3" fillId="0" fontId="4" numFmtId="0" xfId="0" applyBorder="1" applyFont="1"/>
    <xf borderId="3" fillId="0" fontId="5" numFmtId="167" xfId="0" applyAlignment="1" applyBorder="1" applyFont="1" applyNumberFormat="1">
      <alignment horizontal="center" readingOrder="0"/>
    </xf>
    <xf borderId="3" fillId="0" fontId="5" numFmtId="4" xfId="0" applyAlignment="1" applyBorder="1" applyFont="1" applyNumberFormat="1">
      <alignment readingOrder="0"/>
    </xf>
    <xf borderId="3" fillId="16" fontId="4" numFmtId="165" xfId="0" applyAlignment="1" applyBorder="1" applyFont="1" applyNumberFormat="1">
      <alignment horizontal="right" readingOrder="0"/>
    </xf>
    <xf borderId="3" fillId="0" fontId="5" numFmtId="0" xfId="0" applyBorder="1" applyFont="1"/>
    <xf borderId="3" fillId="0" fontId="5" numFmtId="168" xfId="0" applyAlignment="1" applyBorder="1" applyFont="1" applyNumberFormat="1">
      <alignment horizontal="center" readingOrder="0"/>
    </xf>
    <xf borderId="3" fillId="0" fontId="5" numFmtId="165" xfId="0" applyAlignment="1" applyBorder="1" applyFont="1" applyNumberFormat="1">
      <alignment horizontal="right" readingOrder="0"/>
    </xf>
    <xf borderId="3" fillId="16" fontId="4" numFmtId="165" xfId="0" applyAlignment="1" applyBorder="1" applyFont="1" applyNumberFormat="1">
      <alignment horizontal="right"/>
    </xf>
    <xf borderId="3" fillId="0" fontId="4" numFmtId="164" xfId="0" applyAlignment="1" applyBorder="1" applyFont="1" applyNumberFormat="1">
      <alignment horizontal="right"/>
    </xf>
    <xf borderId="3" fillId="0" fontId="14" numFmtId="165" xfId="0" applyAlignment="1" applyBorder="1" applyFont="1" applyNumberFormat="1">
      <alignment horizontal="right" readingOrder="0"/>
    </xf>
    <xf borderId="3" fillId="0" fontId="4" numFmtId="165" xfId="0" applyAlignment="1" applyBorder="1" applyFont="1" applyNumberFormat="1">
      <alignment horizontal="right" readingOrder="0"/>
    </xf>
    <xf borderId="3" fillId="0" fontId="5" numFmtId="164" xfId="0" applyAlignment="1" applyBorder="1" applyFont="1" applyNumberFormat="1">
      <alignment horizontal="right"/>
    </xf>
    <xf borderId="3" fillId="0" fontId="5" numFmtId="169" xfId="0" applyAlignment="1" applyBorder="1" applyFont="1" applyNumberFormat="1">
      <alignment horizontal="center" readingOrder="0"/>
    </xf>
    <xf borderId="3" fillId="0" fontId="0" numFmtId="165" xfId="0" applyAlignment="1" applyBorder="1" applyFont="1" applyNumberFormat="1">
      <alignment horizontal="right" readingOrder="0"/>
    </xf>
    <xf borderId="3" fillId="16" fontId="5" numFmtId="165" xfId="0" applyAlignment="1" applyBorder="1" applyFont="1" applyNumberFormat="1">
      <alignment horizontal="right" readingOrder="0"/>
    </xf>
    <xf borderId="3" fillId="0" fontId="5" numFmtId="165" xfId="0" applyAlignment="1" applyBorder="1" applyFont="1" applyNumberFormat="1">
      <alignment horizontal="right"/>
    </xf>
    <xf borderId="1" fillId="0" fontId="5" numFmtId="165" xfId="0" applyAlignment="1" applyBorder="1" applyFont="1" applyNumberFormat="1">
      <alignment horizontal="right" readingOrder="0"/>
    </xf>
    <xf borderId="3" fillId="0" fontId="5" numFmtId="170" xfId="0" applyAlignment="1" applyBorder="1" applyFont="1" applyNumberFormat="1">
      <alignment horizontal="center" readingOrder="0"/>
    </xf>
    <xf borderId="0" fillId="0" fontId="6" numFmtId="165" xfId="0" applyAlignment="1" applyFont="1" applyNumberFormat="1">
      <alignment horizontal="right" readingOrder="0"/>
    </xf>
    <xf borderId="3" fillId="0" fontId="4" numFmtId="165" xfId="0" applyAlignment="1" applyBorder="1" applyFont="1" applyNumberFormat="1">
      <alignment horizontal="right"/>
    </xf>
    <xf borderId="3" fillId="6" fontId="4" numFmtId="165" xfId="0" applyAlignment="1" applyBorder="1" applyFont="1" applyNumberFormat="1">
      <alignment horizontal="right"/>
    </xf>
    <xf borderId="3" fillId="0" fontId="0" numFmtId="169" xfId="0" applyAlignment="1" applyBorder="1" applyFont="1" applyNumberFormat="1">
      <alignment horizontal="center" readingOrder="0"/>
    </xf>
    <xf borderId="3" fillId="6" fontId="4" numFmtId="165" xfId="0" applyAlignment="1" applyBorder="1" applyFont="1" applyNumberFormat="1">
      <alignment horizontal="right" readingOrder="0"/>
    </xf>
    <xf borderId="0" fillId="0" fontId="15" numFmtId="165" xfId="0" applyAlignment="1" applyFont="1" applyNumberFormat="1">
      <alignment horizontal="right" readingOrder="0"/>
    </xf>
    <xf borderId="1" fillId="0" fontId="0" numFmtId="169" xfId="0" applyAlignment="1" applyBorder="1" applyFont="1" applyNumberFormat="1">
      <alignment horizontal="center" readingOrder="0"/>
    </xf>
    <xf borderId="3" fillId="27" fontId="4" numFmtId="165" xfId="0" applyAlignment="1" applyBorder="1" applyFill="1" applyFont="1" applyNumberFormat="1">
      <alignment horizontal="right"/>
    </xf>
    <xf borderId="0" fillId="0" fontId="4" numFmtId="165" xfId="0" applyAlignment="1" applyFont="1" applyNumberFormat="1">
      <alignment readingOrder="0"/>
    </xf>
    <xf borderId="0" fillId="0" fontId="16" numFmtId="0" xfId="0" applyAlignment="1" applyFont="1">
      <alignment readingOrder="0" vertical="bottom"/>
    </xf>
    <xf borderId="1" fillId="0" fontId="5" numFmtId="165" xfId="0" applyAlignment="1" applyBorder="1" applyFont="1" applyNumberFormat="1">
      <alignment horizontal="right"/>
    </xf>
    <xf borderId="5" fillId="0" fontId="5" numFmtId="165" xfId="0" applyAlignment="1" applyBorder="1" applyFont="1" applyNumberFormat="1">
      <alignment horizontal="right" readingOrder="0"/>
    </xf>
    <xf borderId="3" fillId="6" fontId="5" numFmtId="165" xfId="0" applyAlignment="1" applyBorder="1" applyFont="1" applyNumberFormat="1">
      <alignment horizontal="right"/>
    </xf>
    <xf borderId="3" fillId="0" fontId="7" numFmtId="165" xfId="0" applyAlignment="1" applyBorder="1" applyFont="1" applyNumberFormat="1">
      <alignment horizontal="right" readingOrder="0"/>
    </xf>
    <xf borderId="3" fillId="0" fontId="4" numFmtId="171" xfId="0" applyAlignment="1" applyBorder="1" applyFont="1" applyNumberFormat="1">
      <alignment horizontal="right" readingOrder="0"/>
    </xf>
    <xf borderId="3" fillId="0" fontId="5" numFmtId="0" xfId="0" applyAlignment="1" applyBorder="1" applyFont="1">
      <alignment horizontal="right" readingOrder="0"/>
    </xf>
    <xf borderId="0" fillId="23" fontId="4" numFmtId="165" xfId="0" applyFont="1" applyNumberFormat="1"/>
    <xf borderId="3" fillId="0" fontId="5" numFmtId="4" xfId="0" applyAlignment="1" applyBorder="1" applyFont="1" applyNumberFormat="1">
      <alignment horizontal="right" readingOrder="0"/>
    </xf>
    <xf borderId="3" fillId="0" fontId="5" numFmtId="164" xfId="0" applyAlignment="1" applyBorder="1" applyFont="1" applyNumberFormat="1">
      <alignment horizontal="right" readingOrder="0"/>
    </xf>
    <xf borderId="0" fillId="28" fontId="4" numFmtId="165" xfId="0" applyFill="1" applyFont="1" applyNumberFormat="1"/>
    <xf borderId="4" fillId="0" fontId="14" numFmtId="165" xfId="0" applyAlignment="1" applyBorder="1" applyFont="1" applyNumberFormat="1">
      <alignment horizontal="right" readingOrder="0"/>
    </xf>
    <xf borderId="0" fillId="16" fontId="10" numFmtId="165" xfId="0" applyAlignment="1" applyFont="1" applyNumberFormat="1">
      <alignment readingOrder="0"/>
    </xf>
    <xf borderId="0" fillId="6" fontId="10" numFmtId="165" xfId="0" applyFont="1" applyNumberFormat="1"/>
    <xf borderId="1" fillId="9" fontId="3" numFmtId="172" xfId="0" applyAlignment="1" applyBorder="1" applyFont="1" applyNumberFormat="1">
      <alignment readingOrder="0"/>
    </xf>
    <xf borderId="0" fillId="0" fontId="17" numFmtId="0" xfId="0" applyAlignment="1" applyFont="1">
      <alignment horizontal="center" readingOrder="0"/>
    </xf>
    <xf borderId="3" fillId="9" fontId="18" numFmtId="172" xfId="0" applyAlignment="1" applyBorder="1" applyFont="1" applyNumberFormat="1">
      <alignment horizontal="right" readingOrder="0" vertical="bottom"/>
    </xf>
    <xf borderId="6" fillId="10" fontId="18" numFmtId="0" xfId="0" applyAlignment="1" applyBorder="1" applyFont="1">
      <alignment readingOrder="0" shrinkToFit="0" vertical="bottom" wrapText="1"/>
    </xf>
    <xf borderId="6" fillId="11" fontId="18" numFmtId="0" xfId="0" applyAlignment="1" applyBorder="1" applyFont="1">
      <alignment readingOrder="0" shrinkToFit="0" vertical="bottom" wrapText="1"/>
    </xf>
    <xf borderId="7" fillId="18" fontId="18" numFmtId="0" xfId="0" applyAlignment="1" applyBorder="1" applyFont="1">
      <alignment readingOrder="0" shrinkToFit="0" vertical="bottom" wrapText="1"/>
    </xf>
    <xf borderId="3" fillId="9" fontId="3" numFmtId="172" xfId="0" applyAlignment="1" applyBorder="1" applyFont="1" applyNumberFormat="1">
      <alignment readingOrder="0"/>
    </xf>
    <xf borderId="3" fillId="8" fontId="3" numFmtId="0" xfId="0" applyAlignment="1" applyBorder="1" applyFont="1">
      <alignment readingOrder="0" shrinkToFit="0" wrapText="1"/>
    </xf>
    <xf borderId="0" fillId="0" fontId="19" numFmtId="0" xfId="0" applyAlignment="1" applyFont="1">
      <alignment horizontal="center" readingOrder="0"/>
    </xf>
    <xf borderId="3" fillId="10" fontId="3" numFmtId="0" xfId="0" applyAlignment="1" applyBorder="1" applyFont="1">
      <alignment readingOrder="0" shrinkToFit="0" wrapText="1"/>
    </xf>
    <xf borderId="3" fillId="11" fontId="3" numFmtId="0" xfId="0" applyAlignment="1" applyBorder="1" applyFont="1">
      <alignment readingOrder="0" shrinkToFit="0" wrapText="1"/>
    </xf>
    <xf borderId="3" fillId="18" fontId="3" numFmtId="0" xfId="0" applyAlignment="1" applyBorder="1" applyFont="1">
      <alignment readingOrder="0" shrinkToFit="0" wrapText="1"/>
    </xf>
    <xf borderId="3" fillId="0" fontId="5" numFmtId="0" xfId="0" applyAlignment="1" applyBorder="1" applyFont="1">
      <alignment readingOrder="0"/>
    </xf>
    <xf borderId="3" fillId="0" fontId="2" numFmtId="4" xfId="0" applyBorder="1" applyFont="1" applyNumberFormat="1"/>
    <xf borderId="0" fillId="0" fontId="17" numFmtId="4" xfId="0" applyAlignment="1" applyFont="1" applyNumberFormat="1">
      <alignment horizontal="center"/>
    </xf>
    <xf borderId="0" fillId="0" fontId="17" numFmtId="165" xfId="0" applyAlignment="1" applyFont="1" applyNumberFormat="1">
      <alignment horizontal="center"/>
    </xf>
    <xf borderId="4" fillId="0" fontId="7" numFmtId="0" xfId="0" applyAlignment="1" applyBorder="1" applyFont="1">
      <alignment readingOrder="0" vertical="bottom"/>
    </xf>
    <xf borderId="8" fillId="0" fontId="6" numFmtId="3" xfId="0" applyAlignment="1" applyBorder="1" applyFont="1" applyNumberFormat="1">
      <alignment horizontal="center" readingOrder="0" vertical="bottom"/>
    </xf>
    <xf borderId="8" fillId="0" fontId="7" numFmtId="3" xfId="0" applyAlignment="1" applyBorder="1" applyFont="1" applyNumberFormat="1">
      <alignment readingOrder="0" vertical="bottom"/>
    </xf>
    <xf borderId="0" fillId="0" fontId="17" numFmtId="3" xfId="0" applyAlignment="1" applyFont="1" applyNumberFormat="1">
      <alignment horizontal="center"/>
    </xf>
    <xf borderId="5" fillId="0" fontId="0" numFmtId="3" xfId="0" applyAlignment="1" applyBorder="1" applyFont="1" applyNumberFormat="1">
      <alignment horizontal="right" readingOrder="0"/>
    </xf>
    <xf borderId="3" fillId="0" fontId="0" numFmtId="3" xfId="0" applyAlignment="1" applyBorder="1" applyFont="1" applyNumberFormat="1">
      <alignment horizontal="center" readingOrder="0"/>
    </xf>
    <xf borderId="3" fillId="0" fontId="5" numFmtId="3" xfId="0" applyAlignment="1" applyBorder="1" applyFont="1" applyNumberFormat="1">
      <alignment horizontal="right" readingOrder="0"/>
    </xf>
    <xf borderId="0" fillId="0" fontId="19" numFmtId="165" xfId="0" applyAlignment="1" applyFont="1" applyNumberFormat="1">
      <alignment horizontal="center"/>
    </xf>
    <xf borderId="3" fillId="0" fontId="5" numFmtId="3" xfId="0" applyAlignment="1" applyBorder="1" applyFont="1" applyNumberFormat="1">
      <alignment readingOrder="0"/>
    </xf>
    <xf borderId="3" fillId="0" fontId="4" numFmtId="3" xfId="0" applyAlignment="1" applyBorder="1" applyFont="1" applyNumberFormat="1">
      <alignment readingOrder="0"/>
    </xf>
    <xf borderId="4" fillId="15" fontId="14" numFmtId="4" xfId="0" applyAlignment="1" applyBorder="1" applyFont="1" applyNumberFormat="1">
      <alignment horizontal="right" readingOrder="0"/>
    </xf>
    <xf borderId="4" fillId="15" fontId="14" numFmtId="165" xfId="0" applyAlignment="1" applyBorder="1" applyFont="1" applyNumberFormat="1">
      <alignment horizontal="right" readingOrder="0"/>
    </xf>
    <xf borderId="0" fillId="0" fontId="7" numFmtId="0" xfId="0" applyAlignment="1" applyFont="1">
      <alignment readingOrder="0" vertical="bottom"/>
    </xf>
    <xf borderId="8" fillId="0" fontId="6" numFmtId="3" xfId="0" applyAlignment="1" applyBorder="1" applyFont="1" applyNumberFormat="1">
      <alignment horizontal="center" readingOrder="0" vertical="bottom"/>
    </xf>
    <xf borderId="8" fillId="0" fontId="7" numFmtId="3" xfId="0" applyAlignment="1" applyBorder="1" applyFont="1" applyNumberFormat="1">
      <alignment vertical="bottom"/>
    </xf>
    <xf borderId="5" fillId="0" fontId="5" numFmtId="3" xfId="0" applyAlignment="1" applyBorder="1" applyFont="1" applyNumberFormat="1">
      <alignment readingOrder="0"/>
    </xf>
    <xf borderId="3" fillId="0" fontId="14" numFmtId="3" xfId="0" applyAlignment="1" applyBorder="1" applyFont="1" applyNumberFormat="1">
      <alignment horizontal="center" readingOrder="0"/>
    </xf>
    <xf borderId="3" fillId="0" fontId="0" numFmtId="3" xfId="0" applyAlignment="1" applyBorder="1" applyFont="1" applyNumberFormat="1">
      <alignment horizontal="right" readingOrder="0" shrinkToFit="0" vertical="bottom" wrapText="0"/>
    </xf>
    <xf borderId="4" fillId="0" fontId="5" numFmtId="0" xfId="0" applyAlignment="1" applyBorder="1" applyFont="1">
      <alignment readingOrder="0"/>
    </xf>
    <xf borderId="4" fillId="0" fontId="5" numFmtId="4" xfId="0" applyAlignment="1" applyBorder="1" applyFont="1" applyNumberFormat="1">
      <alignment horizontal="right" readingOrder="0"/>
    </xf>
    <xf borderId="4" fillId="0" fontId="5" numFmtId="165" xfId="0" applyAlignment="1" applyBorder="1" applyFont="1" applyNumberFormat="1">
      <alignment horizontal="right" readingOrder="0"/>
    </xf>
    <xf borderId="5" fillId="0" fontId="0" numFmtId="3" xfId="0" applyAlignment="1" applyBorder="1" applyFont="1" applyNumberFormat="1">
      <alignment horizontal="right" readingOrder="0" shrinkToFit="0" vertical="bottom" wrapText="0"/>
    </xf>
    <xf borderId="3" fillId="0" fontId="5" numFmtId="3" xfId="0" applyAlignment="1" applyBorder="1" applyFont="1" applyNumberFormat="1">
      <alignment horizontal="center" readingOrder="0"/>
    </xf>
    <xf borderId="3" fillId="29" fontId="3" numFmtId="0" xfId="0" applyAlignment="1" applyBorder="1" applyFill="1" applyFont="1">
      <alignment readingOrder="0"/>
    </xf>
    <xf borderId="4" fillId="29" fontId="3" numFmtId="165" xfId="0" applyAlignment="1" applyBorder="1" applyFont="1" applyNumberFormat="1">
      <alignment readingOrder="0"/>
    </xf>
    <xf borderId="3" fillId="30" fontId="3" numFmtId="4" xfId="0" applyBorder="1" applyFill="1" applyFont="1" applyNumberFormat="1"/>
    <xf borderId="4" fillId="29" fontId="3" numFmtId="165" xfId="0" applyAlignment="1" applyBorder="1" applyFont="1" applyNumberFormat="1">
      <alignment readingOrder="0"/>
    </xf>
    <xf borderId="3" fillId="30" fontId="3" numFmtId="165" xfId="0" applyBorder="1" applyFont="1" applyNumberFormat="1"/>
    <xf borderId="3" fillId="0" fontId="2" numFmtId="3" xfId="0" applyAlignment="1" applyBorder="1" applyFont="1" applyNumberFormat="1">
      <alignment horizontal="center" readingOrder="0"/>
    </xf>
    <xf borderId="3" fillId="0" fontId="3" numFmtId="3" xfId="0" applyAlignment="1" applyBorder="1" applyFont="1" applyNumberFormat="1">
      <alignment horizontal="right"/>
    </xf>
    <xf borderId="0" fillId="0" fontId="18" numFmtId="0" xfId="0" applyAlignment="1" applyFont="1">
      <alignment readingOrder="0" vertical="bottom"/>
    </xf>
    <xf borderId="4" fillId="29" fontId="18" numFmtId="0" xfId="0" applyAlignment="1" applyBorder="1" applyFont="1">
      <alignment readingOrder="0" vertical="bottom"/>
    </xf>
    <xf borderId="8" fillId="29" fontId="18" numFmtId="3" xfId="0" applyAlignment="1" applyBorder="1" applyFont="1" applyNumberFormat="1">
      <alignment horizontal="right" vertical="bottom"/>
    </xf>
    <xf borderId="9" fillId="30" fontId="18" numFmtId="3" xfId="0" applyAlignment="1" applyBorder="1" applyFont="1" applyNumberFormat="1">
      <alignment horizontal="right" vertical="bottom"/>
    </xf>
    <xf borderId="3" fillId="29" fontId="3" numFmtId="3" xfId="0" applyAlignment="1" applyBorder="1" applyFont="1" applyNumberFormat="1">
      <alignment readingOrder="0"/>
    </xf>
    <xf borderId="4" fillId="29" fontId="3" numFmtId="3" xfId="0" applyBorder="1" applyFont="1" applyNumberFormat="1"/>
    <xf borderId="10" fillId="29" fontId="3" numFmtId="3" xfId="0" applyBorder="1" applyFont="1" applyNumberFormat="1"/>
    <xf borderId="10" fillId="30" fontId="3" numFmtId="3" xfId="0" applyBorder="1" applyFont="1" applyNumberFormat="1"/>
    <xf borderId="3" fillId="29" fontId="3" numFmtId="3" xfId="0" applyBorder="1" applyFont="1" applyNumberFormat="1"/>
    <xf borderId="3" fillId="30" fontId="3" numFmtId="3" xfId="0" applyBorder="1" applyFont="1" applyNumberFormat="1"/>
    <xf borderId="0" fillId="0" fontId="18" numFmtId="172" xfId="0" applyAlignment="1" applyFont="1" applyNumberFormat="1">
      <alignment horizontal="right" readingOrder="0" vertical="bottom"/>
    </xf>
    <xf borderId="3" fillId="8" fontId="3" numFmtId="3" xfId="0" applyAlignment="1" applyBorder="1" applyFont="1" applyNumberFormat="1">
      <alignment readingOrder="0" shrinkToFit="0" wrapText="1"/>
    </xf>
    <xf borderId="1" fillId="10" fontId="3" numFmtId="3" xfId="0" applyAlignment="1" applyBorder="1" applyFont="1" applyNumberFormat="1">
      <alignment readingOrder="0" shrinkToFit="0" wrapText="1"/>
    </xf>
    <xf borderId="2" fillId="11" fontId="3" numFmtId="3" xfId="0" applyAlignment="1" applyBorder="1" applyFont="1" applyNumberFormat="1">
      <alignment readingOrder="0" shrinkToFit="0" wrapText="1"/>
    </xf>
    <xf borderId="2" fillId="18" fontId="3" numFmtId="3" xfId="0" applyAlignment="1" applyBorder="1" applyFont="1" applyNumberFormat="1">
      <alignment readingOrder="0" shrinkToFit="0" wrapText="1"/>
    </xf>
    <xf borderId="5" fillId="9" fontId="3" numFmtId="3" xfId="0" applyAlignment="1" applyBorder="1" applyFont="1" applyNumberFormat="1">
      <alignment readingOrder="0"/>
    </xf>
    <xf borderId="3" fillId="10" fontId="3" numFmtId="3" xfId="0" applyAlignment="1" applyBorder="1" applyFont="1" applyNumberFormat="1">
      <alignment readingOrder="0" shrinkToFit="0" wrapText="1"/>
    </xf>
    <xf borderId="3" fillId="11" fontId="3" numFmtId="3" xfId="0" applyAlignment="1" applyBorder="1" applyFont="1" applyNumberFormat="1">
      <alignment readingOrder="0" shrinkToFit="0" wrapText="1"/>
    </xf>
    <xf borderId="3" fillId="18" fontId="3" numFmtId="3" xfId="0" applyAlignment="1" applyBorder="1" applyFont="1" applyNumberFormat="1">
      <alignment readingOrder="0" shrinkToFit="0" wrapText="1"/>
    </xf>
    <xf borderId="1" fillId="0" fontId="5" numFmtId="0" xfId="0" applyAlignment="1" applyBorder="1" applyFont="1">
      <alignment readingOrder="0"/>
    </xf>
    <xf borderId="3" fillId="0" fontId="5" numFmtId="165" xfId="0" applyAlignment="1" applyBorder="1" applyFont="1" applyNumberFormat="1">
      <alignment horizontal="right" readingOrder="0"/>
    </xf>
    <xf borderId="1" fillId="0" fontId="5" numFmtId="4" xfId="0" applyAlignment="1" applyBorder="1" applyFont="1" applyNumberFormat="1">
      <alignment horizontal="right" readingOrder="0"/>
    </xf>
    <xf borderId="3" fillId="0" fontId="4" numFmtId="0" xfId="0" applyAlignment="1" applyBorder="1" applyFont="1">
      <alignment readingOrder="0"/>
    </xf>
    <xf borderId="3" fillId="15" fontId="4" numFmtId="165" xfId="0" applyAlignment="1" applyBorder="1" applyFont="1" applyNumberFormat="1">
      <alignment horizontal="right" readingOrder="0"/>
    </xf>
    <xf borderId="3" fillId="15" fontId="4" numFmtId="3" xfId="0" applyAlignment="1" applyBorder="1" applyFont="1" applyNumberFormat="1">
      <alignment horizontal="right" readingOrder="0"/>
    </xf>
    <xf borderId="3" fillId="0" fontId="4" numFmtId="0" xfId="0" applyAlignment="1" applyBorder="1" applyFont="1">
      <alignment horizontal="right"/>
    </xf>
    <xf borderId="4" fillId="15" fontId="14" numFmtId="165" xfId="0" applyAlignment="1" applyBorder="1" applyFont="1" applyNumberFormat="1">
      <alignment horizontal="right" readingOrder="0"/>
    </xf>
    <xf borderId="3" fillId="15" fontId="0" numFmtId="4" xfId="0" applyAlignment="1" applyBorder="1" applyFont="1" applyNumberFormat="1">
      <alignment horizontal="right" readingOrder="0"/>
    </xf>
    <xf borderId="0" fillId="0" fontId="4" numFmtId="165" xfId="0" applyFont="1" applyNumberFormat="1"/>
    <xf borderId="4" fillId="29" fontId="3" numFmtId="165" xfId="0" applyBorder="1" applyFont="1" applyNumberFormat="1"/>
    <xf borderId="10" fillId="29" fontId="3" numFmtId="4" xfId="0" applyBorder="1" applyFont="1" applyNumberFormat="1"/>
    <xf borderId="5" fillId="29" fontId="3" numFmtId="3" xfId="0" applyAlignment="1" applyBorder="1" applyFont="1" applyNumberFormat="1">
      <alignment readingOrder="0"/>
    </xf>
    <xf borderId="0" fillId="0" fontId="3" numFmtId="172" xfId="0" applyAlignment="1" applyFont="1" applyNumberFormat="1">
      <alignment readingOrder="0"/>
    </xf>
    <xf borderId="5" fillId="11" fontId="3" numFmtId="3" xfId="0" applyAlignment="1" applyBorder="1" applyFont="1" applyNumberFormat="1">
      <alignment readingOrder="0" shrinkToFit="0" wrapText="1"/>
    </xf>
    <xf borderId="3" fillId="0" fontId="5" numFmtId="165" xfId="0" applyAlignment="1" applyBorder="1" applyFont="1" applyNumberFormat="1">
      <alignment horizontal="center" readingOrder="0"/>
    </xf>
    <xf borderId="2" fillId="0" fontId="0" numFmtId="3" xfId="0" applyAlignment="1" applyBorder="1" applyFont="1" applyNumberFormat="1">
      <alignment horizontal="right" readingOrder="0"/>
    </xf>
    <xf borderId="1" fillId="0" fontId="0" numFmtId="3" xfId="0" applyAlignment="1" applyBorder="1" applyFont="1" applyNumberFormat="1">
      <alignment horizontal="center" readingOrder="0"/>
    </xf>
    <xf borderId="1" fillId="0" fontId="5" numFmtId="3" xfId="0" applyAlignment="1" applyBorder="1" applyFont="1" applyNumberFormat="1">
      <alignment horizontal="right" readingOrder="0"/>
    </xf>
    <xf borderId="3" fillId="0" fontId="4" numFmtId="3" xfId="0" applyAlignment="1" applyBorder="1" applyFont="1" applyNumberFormat="1">
      <alignment horizontal="right" readingOrder="0"/>
    </xf>
    <xf borderId="5" fillId="0" fontId="5" numFmtId="3" xfId="0" applyAlignment="1" applyBorder="1" applyFont="1" applyNumberFormat="1">
      <alignment horizontal="right" readingOrder="0"/>
    </xf>
    <xf borderId="3" fillId="0" fontId="4" numFmtId="3" xfId="0" applyBorder="1" applyFont="1" applyNumberFormat="1"/>
    <xf borderId="3" fillId="0" fontId="4" numFmtId="3" xfId="0" applyAlignment="1" applyBorder="1" applyFont="1" applyNumberFormat="1">
      <alignment horizontal="center" readingOrder="0"/>
    </xf>
    <xf borderId="10" fillId="0" fontId="5" numFmtId="3" xfId="0" applyAlignment="1" applyBorder="1" applyFont="1" applyNumberFormat="1">
      <alignment readingOrder="0"/>
    </xf>
    <xf borderId="4" fillId="0" fontId="14" numFmtId="3" xfId="0" applyAlignment="1" applyBorder="1" applyFont="1" applyNumberFormat="1">
      <alignment horizontal="center" readingOrder="0"/>
    </xf>
    <xf borderId="4" fillId="0" fontId="5" numFmtId="3" xfId="0" applyAlignment="1" applyBorder="1" applyFont="1" applyNumberFormat="1">
      <alignment horizontal="right" readingOrder="0"/>
    </xf>
    <xf borderId="0" fillId="0" fontId="4" numFmtId="3" xfId="0" applyAlignment="1" applyFont="1" applyNumberFormat="1">
      <alignment horizontal="center" readingOrder="0"/>
    </xf>
    <xf borderId="3" fillId="0" fontId="3" numFmtId="3" xfId="0" applyAlignment="1" applyBorder="1" applyFont="1" applyNumberFormat="1">
      <alignment readingOrder="0"/>
    </xf>
    <xf borderId="3" fillId="0" fontId="3" numFmtId="3" xfId="0" applyBorder="1" applyFont="1" applyNumberFormat="1"/>
    <xf borderId="5" fillId="29" fontId="3" numFmtId="3" xfId="0" applyBorder="1" applyFont="1" applyNumberFormat="1"/>
    <xf borderId="1" fillId="15" fontId="0" numFmtId="3" xfId="0" applyAlignment="1" applyBorder="1" applyFont="1" applyNumberFormat="1">
      <alignment horizontal="center" readingOrder="0"/>
    </xf>
    <xf borderId="3" fillId="15" fontId="4" numFmtId="3" xfId="0" applyBorder="1" applyFont="1" applyNumberFormat="1"/>
    <xf borderId="3" fillId="15" fontId="4" numFmtId="3" xfId="0" applyAlignment="1" applyBorder="1" applyFont="1" applyNumberFormat="1">
      <alignment horizontal="center" readingOrder="0"/>
    </xf>
    <xf borderId="4" fillId="15" fontId="14" numFmtId="3" xfId="0" applyAlignment="1" applyBorder="1" applyFont="1" applyNumberFormat="1">
      <alignment horizontal="center" readingOrder="0"/>
    </xf>
    <xf borderId="3" fillId="31" fontId="5" numFmtId="3" xfId="0" applyAlignment="1" applyBorder="1" applyFill="1" applyFont="1" applyNumberFormat="1">
      <alignment horizontal="right" readingOrder="0"/>
    </xf>
    <xf borderId="5" fillId="31" fontId="5" numFmtId="3" xfId="0" applyAlignment="1" applyBorder="1" applyFont="1" applyNumberFormat="1">
      <alignment horizontal="right" readingOrder="0"/>
    </xf>
    <xf borderId="3" fillId="15" fontId="5" numFmtId="3" xfId="0" applyAlignment="1" applyBorder="1" applyFont="1" applyNumberFormat="1">
      <alignment horizontal="center" readingOrder="0"/>
    </xf>
    <xf borderId="0" fillId="15" fontId="4" numFmtId="3" xfId="0" applyAlignment="1" applyFont="1" applyNumberFormat="1">
      <alignment horizontal="center" readingOrder="0"/>
    </xf>
    <xf borderId="0" fillId="31" fontId="4" numFmtId="3" xfId="0" applyFont="1" applyNumberFormat="1"/>
    <xf borderId="3" fillId="15" fontId="0" numFmtId="3" xfId="0" applyAlignment="1" applyBorder="1" applyFont="1" applyNumberFormat="1">
      <alignment horizontal="center" readingOrder="0"/>
    </xf>
    <xf borderId="3" fillId="0" fontId="3" numFmtId="3" xfId="0" applyAlignment="1" applyBorder="1" applyFont="1" applyNumberFormat="1">
      <alignment horizontal="right" readingOrder="0"/>
    </xf>
    <xf borderId="5" fillId="30" fontId="3" numFmtId="3" xfId="0" applyBorder="1" applyFont="1" applyNumberFormat="1"/>
    <xf borderId="3" fillId="0" fontId="14" numFmtId="165" xfId="0" applyAlignment="1" applyBorder="1" applyFont="1" applyNumberFormat="1">
      <alignment horizontal="center" readingOrder="0"/>
    </xf>
    <xf borderId="4" fillId="15" fontId="14" numFmtId="165" xfId="0" applyAlignment="1" applyBorder="1" applyFont="1" applyNumberFormat="1">
      <alignment horizontal="center" readingOrder="0"/>
    </xf>
    <xf borderId="4" fillId="15" fontId="14" numFmtId="165" xfId="0" applyAlignment="1" applyBorder="1" applyFont="1" applyNumberFormat="1">
      <alignment horizontal="right"/>
    </xf>
    <xf borderId="3" fillId="0" fontId="0" numFmtId="3" xfId="0" applyAlignment="1" applyBorder="1" applyFont="1" applyNumberFormat="1">
      <alignment horizontal="center" readingOrder="0" shrinkToFit="0" vertical="bottom" wrapText="0"/>
    </xf>
    <xf borderId="3" fillId="0" fontId="5" numFmtId="165" xfId="0" applyAlignment="1" applyBorder="1" applyFont="1" applyNumberFormat="1">
      <alignment horizontal="center"/>
    </xf>
    <xf borderId="0" fillId="15" fontId="15" numFmtId="165" xfId="0" applyAlignment="1" applyFont="1" applyNumberFormat="1">
      <alignment horizontal="right" readingOrder="0"/>
    </xf>
    <xf borderId="3" fillId="9" fontId="3" numFmtId="3" xfId="0" applyAlignment="1" applyBorder="1" applyFont="1" applyNumberFormat="1">
      <alignment readingOrder="0"/>
    </xf>
    <xf borderId="1" fillId="18" fontId="3" numFmtId="3" xfId="0" applyAlignment="1" applyBorder="1" applyFont="1" applyNumberFormat="1">
      <alignment readingOrder="0" shrinkToFit="0" wrapText="1"/>
    </xf>
    <xf borderId="6" fillId="0" fontId="5" numFmtId="165" xfId="0" applyAlignment="1" applyBorder="1" applyFont="1" applyNumberFormat="1">
      <alignment horizontal="right" readingOrder="0"/>
    </xf>
    <xf borderId="8" fillId="15" fontId="14" numFmtId="165" xfId="0" applyAlignment="1" applyBorder="1" applyFont="1" applyNumberFormat="1">
      <alignment horizontal="right" readingOrder="0"/>
    </xf>
    <xf borderId="3" fillId="14" fontId="5" numFmtId="3" xfId="0" applyAlignment="1" applyBorder="1" applyFont="1" applyNumberFormat="1">
      <alignment horizontal="center" readingOrder="0"/>
    </xf>
    <xf borderId="1" fillId="0" fontId="5" numFmtId="3" xfId="0" applyAlignment="1" applyBorder="1" applyFont="1" applyNumberFormat="1">
      <alignment horizontal="center" readingOrder="0"/>
    </xf>
    <xf borderId="5" fillId="0" fontId="3" numFmtId="3" xfId="0" applyAlignment="1" applyBorder="1" applyFont="1" applyNumberFormat="1">
      <alignment horizontal="right" readingOrder="0"/>
    </xf>
    <xf borderId="3" fillId="14" fontId="5" numFmtId="3" xfId="0" applyAlignment="1" applyBorder="1" applyFont="1" applyNumberFormat="1">
      <alignment horizontal="right" readingOrder="0"/>
    </xf>
    <xf borderId="3" fillId="15" fontId="4" numFmtId="3" xfId="0" applyAlignment="1" applyBorder="1" applyFont="1" applyNumberFormat="1">
      <alignment horizontal="right" readingOrder="0"/>
    </xf>
    <xf borderId="3" fillId="0" fontId="4" numFmtId="3" xfId="0" applyAlignment="1" applyBorder="1" applyFont="1" applyNumberFormat="1">
      <alignment horizontal="right"/>
    </xf>
    <xf borderId="4" fillId="15" fontId="14" numFmtId="3" xfId="0" applyAlignment="1" applyBorder="1" applyFont="1" applyNumberFormat="1">
      <alignment horizontal="right" readingOrder="0"/>
    </xf>
    <xf borderId="3" fillId="15" fontId="0" numFmtId="3" xfId="0" applyAlignment="1" applyBorder="1" applyFont="1" applyNumberFormat="1">
      <alignment horizontal="right" readingOrder="0"/>
    </xf>
    <xf borderId="3" fillId="0" fontId="0" numFmtId="165" xfId="0" applyAlignment="1" applyBorder="1" applyFont="1" applyNumberFormat="1">
      <alignment readingOrder="0"/>
    </xf>
    <xf borderId="3" fillId="0" fontId="0" numFmtId="3" xfId="0" applyAlignment="1" applyBorder="1" applyFont="1" applyNumberFormat="1">
      <alignment horizontal="right" readingOrder="0"/>
    </xf>
    <xf borderId="5" fillId="0" fontId="14" numFmtId="3" xfId="0" applyAlignment="1" applyBorder="1" applyFont="1" applyNumberFormat="1">
      <alignment horizontal="center" readingOrder="0"/>
    </xf>
    <xf borderId="5" fillId="0" fontId="2" numFmtId="3" xfId="0" applyAlignment="1" applyBorder="1" applyFont="1" applyNumberFormat="1">
      <alignment horizontal="right" readingOrder="0"/>
    </xf>
    <xf borderId="3" fillId="0" fontId="2" numFmtId="3" xfId="0" applyAlignment="1" applyBorder="1" applyFont="1" applyNumberFormat="1">
      <alignment horizontal="right" readingOrder="0"/>
    </xf>
    <xf borderId="3" fillId="9" fontId="3" numFmtId="0" xfId="0" applyAlignment="1" applyBorder="1" applyFont="1">
      <alignment readingOrder="0"/>
    </xf>
    <xf borderId="3" fillId="15" fontId="5" numFmtId="3" xfId="0" applyAlignment="1" applyBorder="1" applyFont="1" applyNumberFormat="1">
      <alignment horizontal="right" readingOrder="0"/>
    </xf>
    <xf borderId="0" fillId="32" fontId="11" numFmtId="3" xfId="0" applyAlignment="1" applyFill="1" applyFont="1" applyNumberFormat="1">
      <alignment readingOrder="0" shrinkToFit="0" vertical="center" wrapText="1"/>
    </xf>
    <xf borderId="0" fillId="32" fontId="11" numFmtId="3" xfId="0" applyAlignment="1" applyFont="1" applyNumberFormat="1">
      <alignment horizontal="center" readingOrder="0" shrinkToFit="0" vertical="center" wrapText="1"/>
    </xf>
    <xf borderId="0" fillId="0" fontId="4" numFmtId="3" xfId="0" applyAlignment="1" applyFont="1" applyNumberFormat="1">
      <alignment readingOrder="0" shrinkToFit="0" vertical="center" wrapText="1"/>
    </xf>
    <xf borderId="0" fillId="0" fontId="4" numFmtId="3" xfId="0" applyAlignment="1" applyFont="1" applyNumberFormat="1">
      <alignment shrinkToFit="0" vertical="center" wrapText="1"/>
    </xf>
    <xf borderId="0" fillId="0" fontId="4" numFmtId="3" xfId="0" applyAlignment="1" applyFont="1" applyNumberFormat="1">
      <alignment readingOrder="0" vertical="center"/>
    </xf>
    <xf borderId="0" fillId="0" fontId="4" numFmtId="3" xfId="0" applyAlignment="1" applyFont="1" applyNumberFormat="1">
      <alignment horizontal="center" readingOrder="0" vertical="center"/>
    </xf>
    <xf borderId="0" fillId="30" fontId="11" numFmtId="3" xfId="0" applyAlignment="1" applyFont="1" applyNumberFormat="1">
      <alignment horizontal="right" readingOrder="0" vertical="center"/>
    </xf>
    <xf borderId="0" fillId="0" fontId="4" numFmtId="3" xfId="0" applyAlignment="1" applyFont="1" applyNumberFormat="1">
      <alignment vertical="center"/>
    </xf>
    <xf borderId="0" fillId="0" fontId="4" numFmtId="3" xfId="0" applyAlignment="1" applyFont="1" applyNumberFormat="1">
      <alignment horizontal="center" vertical="center"/>
    </xf>
    <xf borderId="0" fillId="11" fontId="11" numFmtId="3" xfId="0" applyAlignment="1" applyFont="1" applyNumberFormat="1">
      <alignment readingOrder="0" shrinkToFit="0" vertical="center" wrapText="1"/>
    </xf>
    <xf borderId="0" fillId="11" fontId="11" numFmtId="3" xfId="0" applyAlignment="1" applyFont="1" applyNumberFormat="1">
      <alignment horizontal="center" readingOrder="0" shrinkToFit="0" vertical="center" wrapText="1"/>
    </xf>
    <xf borderId="0" fillId="30" fontId="11" numFmtId="3" xfId="0" applyAlignment="1" applyFont="1" applyNumberFormat="1">
      <alignment horizontal="right" vertical="center"/>
    </xf>
    <xf borderId="0" fillId="9" fontId="3" numFmtId="172" xfId="0" applyAlignment="1" applyFont="1" applyNumberFormat="1">
      <alignment readingOrder="0" shrinkToFit="0" wrapText="1"/>
    </xf>
    <xf borderId="0" fillId="2" fontId="18" numFmtId="0" xfId="0" applyAlignment="1" applyFont="1">
      <alignment shrinkToFit="0" wrapText="1"/>
    </xf>
    <xf borderId="0" fillId="3" fontId="18" numFmtId="0" xfId="0" applyAlignment="1" applyFont="1">
      <alignment shrinkToFit="0" wrapText="1"/>
    </xf>
    <xf borderId="0" fillId="4" fontId="18" numFmtId="0" xfId="0" applyAlignment="1" applyFont="1">
      <alignment shrinkToFit="0" wrapText="1"/>
    </xf>
    <xf borderId="0" fillId="5" fontId="18" numFmtId="0" xfId="0" applyAlignment="1" applyFont="1">
      <alignment shrinkToFit="0" wrapText="1"/>
    </xf>
    <xf borderId="0" fillId="33" fontId="18" numFmtId="0" xfId="0" applyAlignment="1" applyFill="1" applyFont="1">
      <alignment shrinkToFit="0" wrapText="1"/>
    </xf>
    <xf borderId="0" fillId="7" fontId="18" numFmtId="0" xfId="0" applyAlignment="1" applyFont="1">
      <alignment shrinkToFit="0" wrapText="1"/>
    </xf>
    <xf borderId="0" fillId="8" fontId="18" numFmtId="0" xfId="0" applyAlignment="1" applyFont="1">
      <alignment shrinkToFit="0" wrapText="1"/>
    </xf>
    <xf borderId="0" fillId="9" fontId="18" numFmtId="0" xfId="0" applyAlignment="1" applyFont="1">
      <alignment shrinkToFit="0" wrapText="1"/>
    </xf>
    <xf borderId="0" fillId="10" fontId="18" numFmtId="0" xfId="0" applyAlignment="1" applyFont="1">
      <alignment shrinkToFit="0" wrapText="1"/>
    </xf>
    <xf borderId="0" fillId="11" fontId="18" numFmtId="0" xfId="0" applyAlignment="1" applyFont="1">
      <alignment shrinkToFit="0" wrapText="1"/>
    </xf>
    <xf borderId="0" fillId="12" fontId="18" numFmtId="0" xfId="0" applyAlignment="1" applyFont="1">
      <alignment shrinkToFit="0" wrapText="1"/>
    </xf>
    <xf borderId="0" fillId="13" fontId="18" numFmtId="0" xfId="0" applyAlignment="1" applyFont="1">
      <alignment readingOrder="0" shrinkToFit="0" wrapText="1"/>
    </xf>
    <xf borderId="0" fillId="0" fontId="3" numFmtId="172" xfId="0" applyAlignment="1" applyFont="1" applyNumberForma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9" fontId="3" numFmtId="173" xfId="0" applyAlignment="1" applyFont="1" applyNumberFormat="1">
      <alignment readingOrder="0" shrinkToFit="0" wrapText="1"/>
    </xf>
    <xf borderId="0" fillId="33" fontId="3" numFmtId="0" xfId="0" applyAlignment="1" applyFont="1">
      <alignment readingOrder="0" shrinkToFit="0" vertical="center" wrapText="1"/>
    </xf>
    <xf borderId="0" fillId="3" fontId="3" numFmtId="0" xfId="0" applyAlignment="1" applyFont="1">
      <alignment readingOrder="0" shrinkToFit="0" wrapText="1"/>
    </xf>
    <xf borderId="0" fillId="4" fontId="3" numFmtId="0" xfId="0" applyAlignment="1" applyFont="1">
      <alignment readingOrder="0" shrinkToFit="0" wrapText="1"/>
    </xf>
    <xf borderId="0" fillId="5" fontId="3" numFmtId="0" xfId="0" applyAlignment="1" applyFont="1">
      <alignment readingOrder="0" shrinkToFit="0" wrapText="1"/>
    </xf>
    <xf borderId="0" fillId="33" fontId="3" numFmtId="0" xfId="0" applyAlignment="1" applyFont="1">
      <alignment readingOrder="0" shrinkToFit="0" wrapText="1"/>
    </xf>
    <xf borderId="0" fillId="7" fontId="3" numFmtId="0" xfId="0" applyAlignment="1" applyFont="1">
      <alignment readingOrder="0" shrinkToFit="0" wrapText="1"/>
    </xf>
    <xf borderId="0" fillId="8" fontId="3" numFmtId="0" xfId="0" applyAlignment="1" applyFont="1">
      <alignment readingOrder="0" shrinkToFit="0" wrapText="1"/>
    </xf>
    <xf borderId="0" fillId="9" fontId="3" numFmtId="0" xfId="0" applyAlignment="1" applyFont="1">
      <alignment readingOrder="0" shrinkToFit="0" wrapText="1"/>
    </xf>
    <xf borderId="0" fillId="10" fontId="3" numFmtId="0" xfId="0" applyAlignment="1" applyFont="1">
      <alignment readingOrder="0" shrinkToFit="0" wrapText="1"/>
    </xf>
    <xf borderId="0" fillId="11" fontId="3" numFmtId="0" xfId="0" applyAlignment="1" applyFont="1">
      <alignment readingOrder="0" shrinkToFit="0" wrapText="1"/>
    </xf>
    <xf borderId="0" fillId="13" fontId="3" numFmtId="0" xfId="0" applyAlignment="1" applyFont="1">
      <alignment readingOrder="0" shrinkToFit="0" wrapText="1"/>
    </xf>
    <xf borderId="0" fillId="11" fontId="18" numFmtId="168" xfId="0" applyAlignment="1" applyFont="1" applyNumberFormat="1">
      <alignment horizontal="right" readingOrder="0" shrinkToFit="0" vertical="center" wrapText="1"/>
    </xf>
    <xf borderId="0" fillId="3" fontId="3" numFmtId="3" xfId="0" applyAlignment="1" applyFont="1" applyNumberFormat="1">
      <alignment readingOrder="0" shrinkToFit="0" wrapText="1"/>
    </xf>
    <xf borderId="0" fillId="4" fontId="3" numFmtId="3" xfId="0" applyAlignment="1" applyFont="1" applyNumberFormat="1">
      <alignment readingOrder="0" shrinkToFit="0" wrapText="1"/>
    </xf>
    <xf borderId="0" fillId="5" fontId="3" numFmtId="3" xfId="0" applyAlignment="1" applyFont="1" applyNumberFormat="1">
      <alignment readingOrder="0" shrinkToFit="0" wrapText="1"/>
    </xf>
    <xf borderId="0" fillId="33" fontId="3" numFmtId="3" xfId="0" applyAlignment="1" applyFont="1" applyNumberFormat="1">
      <alignment readingOrder="0" shrinkToFit="0" wrapText="1"/>
    </xf>
    <xf borderId="0" fillId="7" fontId="3" numFmtId="3" xfId="0" applyAlignment="1" applyFont="1" applyNumberFormat="1">
      <alignment readingOrder="0" shrinkToFit="0" wrapText="1"/>
    </xf>
    <xf borderId="0" fillId="8" fontId="3" numFmtId="3" xfId="0" applyAlignment="1" applyFont="1" applyNumberFormat="1">
      <alignment readingOrder="0" shrinkToFit="0" wrapText="1"/>
    </xf>
    <xf borderId="0" fillId="9" fontId="3" numFmtId="3" xfId="0" applyAlignment="1" applyFont="1" applyNumberFormat="1">
      <alignment readingOrder="0" shrinkToFit="0" wrapText="1"/>
    </xf>
    <xf borderId="0" fillId="10" fontId="3" numFmtId="3" xfId="0" applyAlignment="1" applyFont="1" applyNumberFormat="1">
      <alignment readingOrder="0" shrinkToFit="0" wrapText="1"/>
    </xf>
    <xf borderId="0" fillId="11" fontId="3" numFmtId="3" xfId="0" applyAlignment="1" applyFont="1" applyNumberFormat="1">
      <alignment readingOrder="0" shrinkToFit="0" wrapText="1"/>
    </xf>
    <xf borderId="0" fillId="30" fontId="3" numFmtId="3" xfId="0" applyAlignment="1" applyFont="1" applyNumberFormat="1">
      <alignment readingOrder="0" shrinkToFit="0" wrapText="1"/>
    </xf>
    <xf borderId="0" fillId="0" fontId="18" numFmtId="3" xfId="0" applyAlignment="1" applyFont="1" applyNumberFormat="1">
      <alignment horizontal="left" shrinkToFit="0" vertical="center" wrapText="1"/>
    </xf>
    <xf borderId="0" fillId="32" fontId="18" numFmtId="3" xfId="0" applyAlignment="1" applyFont="1" applyNumberFormat="1">
      <alignment horizontal="left" readingOrder="0" shrinkToFit="0" vertical="center" wrapText="1"/>
    </xf>
    <xf borderId="0" fillId="0" fontId="7" numFmtId="3" xfId="0" applyAlignment="1" applyFont="1" applyNumberFormat="1">
      <alignment readingOrder="0"/>
    </xf>
    <xf borderId="0" fillId="0" fontId="20" numFmtId="3" xfId="0" applyAlignment="1" applyFont="1" applyNumberFormat="1">
      <alignment readingOrder="0"/>
    </xf>
    <xf borderId="0" fillId="0" fontId="20" numFmtId="3" xfId="0" applyFont="1" applyNumberFormat="1"/>
    <xf borderId="0" fillId="0" fontId="20" numFmtId="3" xfId="0" applyAlignment="1" applyFont="1" applyNumberFormat="1">
      <alignment horizontal="center" readingOrder="0"/>
    </xf>
    <xf borderId="0" fillId="0" fontId="1" numFmtId="3" xfId="0" applyAlignment="1" applyFont="1" applyNumberFormat="1">
      <alignment readingOrder="0"/>
    </xf>
    <xf borderId="0" fillId="0" fontId="10" numFmtId="3" xfId="0" applyAlignment="1" applyFont="1" applyNumberFormat="1">
      <alignment horizontal="center"/>
    </xf>
    <xf borderId="0" fillId="15" fontId="7" numFmtId="3" xfId="0" applyAlignment="1" applyFont="1" applyNumberFormat="1">
      <alignment readingOrder="0"/>
    </xf>
    <xf borderId="0" fillId="15" fontId="7" numFmtId="3" xfId="0" applyFont="1" applyNumberFormat="1"/>
    <xf borderId="0" fillId="15" fontId="18" numFmtId="3" xfId="0" applyFont="1" applyNumberFormat="1"/>
    <xf borderId="0" fillId="30" fontId="11" numFmtId="3" xfId="0" applyAlignment="1" applyFont="1" applyNumberFormat="1">
      <alignment vertical="center"/>
    </xf>
    <xf borderId="0" fillId="0" fontId="21" numFmtId="3" xfId="0" applyFont="1" applyNumberFormat="1"/>
    <xf borderId="0" fillId="0" fontId="21" numFmtId="3" xfId="0" applyAlignment="1" applyFont="1" applyNumberFormat="1">
      <alignment readingOrder="0"/>
    </xf>
    <xf borderId="0" fillId="0" fontId="8" numFmtId="3" xfId="0" applyFont="1" applyNumberFormat="1"/>
    <xf borderId="0" fillId="30" fontId="18" numFmtId="3" xfId="0" applyFont="1" applyNumberFormat="1"/>
    <xf borderId="0" fillId="0" fontId="4" numFmtId="3" xfId="0" applyAlignment="1" applyFont="1" applyNumberFormat="1">
      <alignment vertical="center"/>
    </xf>
    <xf borderId="0" fillId="0" fontId="4" numFmtId="3" xfId="0" applyAlignment="1" applyFont="1" applyNumberFormat="1">
      <alignment horizontal="center" vertical="center"/>
    </xf>
    <xf borderId="0" fillId="15" fontId="4" numFmtId="3" xfId="0" applyAlignment="1" applyFont="1" applyNumberFormat="1">
      <alignment vertical="center"/>
    </xf>
    <xf borderId="0" fillId="15" fontId="4" numFmtId="3" xfId="0" applyAlignment="1" applyFont="1" applyNumberFormat="1">
      <alignment horizontal="center" vertical="center"/>
    </xf>
    <xf borderId="0" fillId="0" fontId="3" numFmtId="173" xfId="0" applyAlignment="1" applyFont="1" applyNumberFormat="1">
      <alignment readingOrder="0" shrinkToFit="0" wrapText="1"/>
    </xf>
    <xf borderId="0" fillId="29" fontId="18" numFmtId="3" xfId="0" applyAlignment="1" applyFont="1" applyNumberFormat="1">
      <alignment horizontal="right" readingOrder="0" shrinkToFit="0" vertical="center" wrapText="1"/>
    </xf>
    <xf borderId="0" fillId="13" fontId="3" numFmtId="3" xfId="0" applyAlignment="1" applyFont="1" applyNumberFormat="1">
      <alignment readingOrder="0" shrinkToFit="0" wrapText="1"/>
    </xf>
    <xf borderId="0" fillId="11" fontId="18" numFmtId="3" xfId="0" applyAlignment="1" applyFont="1" applyNumberFormat="1">
      <alignment horizontal="right" readingOrder="0" shrinkToFit="0" vertical="center" wrapText="1"/>
    </xf>
    <xf borderId="0" fillId="11" fontId="18" numFmtId="3" xfId="0" applyAlignment="1" applyFont="1" applyNumberFormat="1">
      <alignment horizontal="left" shrinkToFit="0" vertical="center" wrapText="1"/>
    </xf>
    <xf borderId="0" fillId="11" fontId="18" numFmtId="3" xfId="0" applyAlignment="1" applyFont="1" applyNumberFormat="1">
      <alignment readingOrder="0" shrinkToFit="0" vertical="center" wrapText="1"/>
    </xf>
    <xf borderId="0" fillId="0" fontId="20" numFmtId="3" xfId="0" applyAlignment="1" applyFont="1" applyNumberFormat="1">
      <alignment readingOrder="0"/>
    </xf>
    <xf borderId="0" fillId="0" fontId="20" numFmtId="3" xfId="0" applyFont="1" applyNumberFormat="1"/>
    <xf borderId="0" fillId="0" fontId="7" numFmtId="3" xfId="0" applyFont="1" applyNumberFormat="1"/>
    <xf borderId="0" fillId="0" fontId="21" numFmtId="3" xfId="0" applyFont="1" applyNumberFormat="1"/>
    <xf borderId="0" fillId="30" fontId="11" numFmtId="3" xfId="0" applyFont="1" applyNumberFormat="1"/>
    <xf borderId="0" fillId="34" fontId="7" numFmtId="3" xfId="0" applyFill="1" applyFont="1" applyNumberFormat="1"/>
    <xf borderId="0" fillId="2" fontId="18" numFmtId="0" xfId="0" applyAlignment="1" applyFont="1">
      <alignment readingOrder="0" shrinkToFit="0" wrapText="1"/>
    </xf>
    <xf borderId="0" fillId="3" fontId="18" numFmtId="0" xfId="0" applyAlignment="1" applyFont="1">
      <alignment readingOrder="0" shrinkToFit="0" wrapText="1"/>
    </xf>
    <xf borderId="0" fillId="4" fontId="18" numFmtId="0" xfId="0" applyAlignment="1" applyFont="1">
      <alignment readingOrder="0" shrinkToFit="0" wrapText="1"/>
    </xf>
    <xf borderId="0" fillId="5" fontId="18" numFmtId="0" xfId="0" applyAlignment="1" applyFont="1">
      <alignment readingOrder="0" shrinkToFit="0" wrapText="1"/>
    </xf>
    <xf borderId="0" fillId="33" fontId="18" numFmtId="0" xfId="0" applyAlignment="1" applyFont="1">
      <alignment readingOrder="0" shrinkToFit="0" wrapText="1"/>
    </xf>
    <xf borderId="0" fillId="7" fontId="18" numFmtId="0" xfId="0" applyAlignment="1" applyFont="1">
      <alignment readingOrder="0" shrinkToFit="0" wrapText="1"/>
    </xf>
    <xf borderId="0" fillId="8" fontId="18" numFmtId="0" xfId="0" applyAlignment="1" applyFont="1">
      <alignment readingOrder="0" shrinkToFit="0" wrapText="1"/>
    </xf>
    <xf borderId="0" fillId="9" fontId="18" numFmtId="0" xfId="0" applyAlignment="1" applyFont="1">
      <alignment readingOrder="0" shrinkToFit="0" wrapText="1"/>
    </xf>
    <xf borderId="0" fillId="10" fontId="18" numFmtId="0" xfId="0" applyAlignment="1" applyFont="1">
      <alignment readingOrder="0" shrinkToFit="0" wrapText="1"/>
    </xf>
    <xf borderId="0" fillId="11" fontId="18" numFmtId="0" xfId="0" applyAlignment="1" applyFont="1">
      <alignment readingOrder="0" shrinkToFit="0" wrapText="1"/>
    </xf>
    <xf borderId="0" fillId="12" fontId="18" numFmtId="0" xfId="0" applyAlignment="1" applyFont="1">
      <alignment readingOrder="0" shrinkToFit="0" wrapText="1"/>
    </xf>
    <xf borderId="0" fillId="32" fontId="18" numFmtId="3" xfId="0" applyAlignment="1" applyFont="1" applyNumberFormat="1">
      <alignment horizontal="right" readingOrder="0" shrinkToFit="0" vertical="center" wrapText="1"/>
    </xf>
    <xf borderId="0" fillId="10" fontId="4" numFmtId="3" xfId="0" applyFont="1" applyNumberFormat="1"/>
    <xf borderId="0" fillId="32" fontId="18" numFmtId="3" xfId="0" applyAlignment="1" applyFont="1" applyNumberFormat="1">
      <alignment horizontal="left" readingOrder="0" shrinkToFit="0" vertical="center" wrapText="0"/>
    </xf>
    <xf borderId="0" fillId="14" fontId="5" numFmtId="3" xfId="0" applyAlignment="1" applyFont="1" applyNumberFormat="1">
      <alignment readingOrder="0"/>
    </xf>
    <xf borderId="0" fillId="14" fontId="5" numFmtId="3" xfId="0" applyFont="1" applyNumberFormat="1"/>
    <xf borderId="0" fillId="21" fontId="5" numFmtId="3" xfId="0" applyFont="1" applyNumberFormat="1"/>
    <xf borderId="0" fillId="14" fontId="8" numFmtId="3" xfId="0" applyFont="1" applyNumberFormat="1"/>
    <xf borderId="0" fillId="14" fontId="1" numFmtId="3" xfId="0" applyFont="1" applyNumberFormat="1"/>
    <xf borderId="0" fillId="14" fontId="2" numFmtId="3" xfId="0" applyFont="1" applyNumberFormat="1"/>
    <xf borderId="0" fillId="11" fontId="18" numFmtId="3" xfId="0" applyAlignment="1" applyFont="1" applyNumberFormat="1">
      <alignment shrinkToFit="0" vertical="center" wrapText="1"/>
    </xf>
    <xf borderId="0" fillId="11" fontId="18" numFmtId="3" xfId="0" applyAlignment="1" applyFont="1" applyNumberFormat="1">
      <alignment horizontal="center" shrinkToFit="0" vertical="center" wrapText="1"/>
    </xf>
    <xf borderId="0" fillId="0" fontId="18" numFmtId="3" xfId="0" applyAlignment="1" applyFont="1" applyNumberFormat="1">
      <alignment shrinkToFit="0" vertical="center" wrapText="1"/>
    </xf>
    <xf borderId="0" fillId="32" fontId="18" numFmtId="3" xfId="0" applyAlignment="1" applyFont="1" applyNumberFormat="1">
      <alignment shrinkToFit="0" vertical="center" wrapText="1"/>
    </xf>
    <xf borderId="0" fillId="32" fontId="18" numFmtId="3" xfId="0" applyAlignment="1" applyFont="1" applyNumberFormat="1">
      <alignment horizontal="center" shrinkToFit="0" vertical="center" wrapText="1"/>
    </xf>
    <xf borderId="0" fillId="32" fontId="18" numFmtId="3" xfId="0" applyAlignment="1" applyFont="1" applyNumberFormat="1">
      <alignment readingOrder="0" shrinkToFit="0" vertical="center" wrapText="1"/>
    </xf>
    <xf borderId="0" fillId="0" fontId="5" numFmtId="3" xfId="0" applyFont="1" applyNumberFormat="1"/>
    <xf borderId="0" fillId="14" fontId="5" numFmtId="3" xfId="0" applyFont="1" applyNumberFormat="1"/>
    <xf borderId="0" fillId="0" fontId="2" numFmtId="3" xfId="0" applyFont="1" applyNumberFormat="1"/>
    <xf borderId="0" fillId="14" fontId="2" numFmtId="3" xfId="0" applyFont="1" applyNumberFormat="1"/>
    <xf borderId="0" fillId="34" fontId="2" numFmtId="3" xfId="0" applyFont="1" applyNumberFormat="1"/>
    <xf borderId="0" fillId="35" fontId="2" numFmtId="3" xfId="0" applyFill="1" applyFont="1" applyNumberFormat="1"/>
    <xf borderId="0" fillId="31" fontId="2" numFmtId="3" xfId="0" applyFont="1" applyNumberFormat="1"/>
    <xf borderId="0" fillId="30" fontId="2" numFmtId="3" xfId="0" applyFont="1" applyNumberFormat="1"/>
    <xf borderId="0" fillId="0" fontId="5" numFmtId="3" xfId="0" applyFont="1" applyNumberFormat="1"/>
    <xf borderId="0" fillId="0" fontId="4" numFmtId="3" xfId="0" applyFont="1" applyNumberFormat="1"/>
    <xf borderId="0" fillId="14" fontId="4" numFmtId="3" xfId="0" applyAlignment="1" applyFont="1" applyNumberFormat="1">
      <alignment readingOrder="0"/>
    </xf>
    <xf borderId="0" fillId="14" fontId="4" numFmtId="3" xfId="0" applyFont="1" applyNumberFormat="1"/>
    <xf borderId="0" fillId="30" fontId="18" numFmtId="3" xfId="0" applyAlignment="1" applyFont="1" applyNumberFormat="1">
      <alignment readingOrder="0"/>
    </xf>
    <xf borderId="0" fillId="34" fontId="4" numFmtId="3" xfId="0" applyFont="1" applyNumberFormat="1"/>
    <xf borderId="0" fillId="34" fontId="7" numFmtId="3" xfId="0" applyAlignment="1" applyFont="1" applyNumberFormat="1">
      <alignment readingOrder="0"/>
    </xf>
    <xf borderId="0" fillId="0" fontId="22" numFmtId="3" xfId="0" applyFont="1" applyNumberFormat="1"/>
    <xf borderId="0" fillId="14" fontId="22" numFmtId="3" xfId="0" applyFont="1" applyNumberFormat="1"/>
    <xf borderId="0" fillId="14" fontId="8" numFmtId="3" xfId="0" applyFont="1" applyNumberFormat="1"/>
    <xf borderId="0" fillId="0" fontId="10" numFmtId="3" xfId="0" applyAlignment="1" applyFont="1" applyNumberFormat="1">
      <alignment readingOrder="0"/>
    </xf>
    <xf borderId="0" fillId="0" fontId="10" numFmtId="3" xfId="0" applyFont="1" applyNumberFormat="1"/>
    <xf borderId="0" fillId="14" fontId="10" numFmtId="3" xfId="0" applyAlignment="1" applyFont="1" applyNumberFormat="1">
      <alignment readingOrder="0"/>
    </xf>
    <xf borderId="0" fillId="14" fontId="10" numFmtId="3" xfId="0" applyFont="1" applyNumberFormat="1"/>
    <xf borderId="0" fillId="0" fontId="23" numFmtId="3" xfId="0" applyFont="1" applyNumberFormat="1"/>
    <xf borderId="0" fillId="14" fontId="23" numFmtId="3" xfId="0" applyFont="1" applyNumberFormat="1"/>
    <xf borderId="0" fillId="31" fontId="4" numFmtId="3" xfId="0" applyAlignment="1" applyFont="1" applyNumberFormat="1">
      <alignment vertical="center"/>
    </xf>
    <xf borderId="0" fillId="0" fontId="11" numFmtId="172" xfId="0" applyAlignment="1" applyFont="1" applyNumberFormat="1">
      <alignment readingOrder="0"/>
    </xf>
    <xf borderId="0" fillId="32" fontId="11" numFmtId="172" xfId="0" applyAlignment="1" applyFont="1" applyNumberFormat="1">
      <alignment readingOrder="0"/>
    </xf>
    <xf borderId="0" fillId="3" fontId="18" numFmtId="3" xfId="0" applyAlignment="1" applyFont="1" applyNumberFormat="1">
      <alignment shrinkToFit="0" vertical="bottom" wrapText="1"/>
    </xf>
    <xf borderId="0" fillId="4" fontId="18" numFmtId="3" xfId="0" applyAlignment="1" applyFont="1" applyNumberFormat="1">
      <alignment shrinkToFit="0" vertical="bottom" wrapText="1"/>
    </xf>
    <xf borderId="0" fillId="5" fontId="18" numFmtId="3" xfId="0" applyAlignment="1" applyFont="1" applyNumberFormat="1">
      <alignment shrinkToFit="0" vertical="bottom" wrapText="1"/>
    </xf>
    <xf borderId="0" fillId="33" fontId="18" numFmtId="3" xfId="0" applyAlignment="1" applyFont="1" applyNumberFormat="1">
      <alignment shrinkToFit="0" vertical="bottom" wrapText="1"/>
    </xf>
    <xf borderId="0" fillId="7" fontId="18" numFmtId="3" xfId="0" applyAlignment="1" applyFont="1" applyNumberFormat="1">
      <alignment shrinkToFit="0" vertical="bottom" wrapText="1"/>
    </xf>
    <xf borderId="0" fillId="8" fontId="18" numFmtId="3" xfId="0" applyAlignment="1" applyFont="1" applyNumberFormat="1">
      <alignment shrinkToFit="0" vertical="bottom" wrapText="1"/>
    </xf>
    <xf borderId="0" fillId="9" fontId="18" numFmtId="3" xfId="0" applyAlignment="1" applyFont="1" applyNumberFormat="1">
      <alignment shrinkToFit="0" vertical="bottom" wrapText="1"/>
    </xf>
    <xf borderId="0" fillId="10" fontId="18" numFmtId="3" xfId="0" applyAlignment="1" applyFont="1" applyNumberFormat="1">
      <alignment shrinkToFit="0" vertical="bottom" wrapText="1"/>
    </xf>
    <xf borderId="0" fillId="11" fontId="18" numFmtId="3" xfId="0" applyAlignment="1" applyFont="1" applyNumberFormat="1">
      <alignment shrinkToFit="0" vertical="bottom" wrapText="1"/>
    </xf>
    <xf borderId="0" fillId="32" fontId="11" numFmtId="3" xfId="0" applyAlignment="1" applyFont="1" applyNumberFormat="1">
      <alignment readingOrder="0"/>
    </xf>
    <xf borderId="0" fillId="13" fontId="18" numFmtId="3" xfId="0" applyAlignment="1" applyFont="1" applyNumberFormat="1">
      <alignment shrinkToFit="0" vertical="bottom" wrapText="1"/>
    </xf>
    <xf borderId="0" fillId="0" fontId="24" numFmtId="3" xfId="0" applyFont="1" applyNumberFormat="1"/>
    <xf borderId="0" fillId="14" fontId="23" numFmtId="3" xfId="0" applyAlignment="1" applyFont="1" applyNumberFormat="1">
      <alignment readingOrder="0"/>
    </xf>
    <xf borderId="0" fillId="11" fontId="18" numFmtId="3" xfId="0" applyAlignment="1" applyFont="1" applyNumberFormat="1">
      <alignment horizontal="center" readingOrder="0" shrinkToFit="0" vertical="center" wrapText="1"/>
    </xf>
    <xf borderId="0" fillId="15" fontId="18" numFmtId="3" xfId="0" applyAlignment="1" applyFont="1" applyNumberFormat="1">
      <alignment shrinkToFit="0" vertical="center" wrapText="1"/>
    </xf>
    <xf borderId="0" fillId="0" fontId="4" numFmtId="3" xfId="0" applyAlignment="1" applyFont="1" applyNumberFormat="1">
      <alignment readingOrder="0"/>
    </xf>
    <xf borderId="0" fillId="31" fontId="10" numFmtId="3" xfId="0" applyFont="1" applyNumberFormat="1"/>
    <xf borderId="0" fillId="31" fontId="4" numFmtId="3" xfId="0" applyAlignment="1" applyFont="1" applyNumberFormat="1">
      <alignment horizontal="center" vertical="center"/>
    </xf>
    <xf borderId="0" fillId="0" fontId="20" numFmtId="165" xfId="0" applyFont="1" applyNumberFormat="1"/>
    <xf borderId="0" fillId="0" fontId="0" numFmtId="3" xfId="0" applyAlignment="1" applyFont="1" applyNumberFormat="1">
      <alignment readingOrder="0"/>
    </xf>
    <xf borderId="0" fillId="0" fontId="8" numFmtId="3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31" fontId="10" numFmtId="3" xfId="0" applyAlignment="1" applyFont="1" applyNumberFormat="1">
      <alignment readingOrder="0"/>
    </xf>
    <xf borderId="0" fillId="0" fontId="5" numFmtId="4" xfId="0" applyFont="1" applyNumberFormat="1"/>
    <xf borderId="0" fillId="0" fontId="5" numFmtId="0" xfId="0" applyFont="1"/>
    <xf borderId="0" fillId="0" fontId="5" numFmtId="0" xfId="0" applyAlignment="1" applyFont="1">
      <alignment readingOrder="0"/>
    </xf>
    <xf borderId="0" fillId="0" fontId="4" numFmtId="3" xfId="0" applyAlignment="1" applyFont="1" applyNumberFormat="1">
      <alignment readingOrder="0" shrinkToFit="0" wrapText="1"/>
    </xf>
    <xf borderId="0" fillId="0" fontId="18" numFmtId="0" xfId="0" applyAlignment="1" applyFont="1">
      <alignment horizontal="left" shrinkToFit="0" vertical="center" wrapText="1"/>
    </xf>
    <xf borderId="0" fillId="0" fontId="11" numFmtId="172" xfId="0" applyAlignment="1" applyFont="1" applyNumberFormat="1">
      <alignment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  <xf borderId="0" fillId="0" fontId="3" numFmtId="3" xfId="0" applyAlignment="1" applyFont="1" applyNumberFormat="1">
      <alignment readingOrder="0" shrinkToFit="0" wrapText="1"/>
    </xf>
    <xf borderId="0" fillId="15" fontId="4" numFmtId="3" xfId="0" applyFont="1" applyNumberFormat="1"/>
    <xf borderId="0" fillId="15" fontId="18" numFmtId="3" xfId="0" applyFont="1" applyNumberFormat="1"/>
    <xf borderId="0" fillId="0" fontId="4" numFmtId="0" xfId="0" applyAlignment="1" applyFont="1">
      <alignment readingOrder="0" vertical="center"/>
    </xf>
    <xf borderId="0" fillId="0" fontId="4" numFmtId="4" xfId="0" applyAlignment="1" applyFont="1" applyNumberFormat="1">
      <alignment vertical="center"/>
    </xf>
    <xf borderId="0" fillId="0" fontId="4" numFmtId="4" xfId="0" applyAlignment="1" applyFont="1" applyNumberFormat="1">
      <alignment readingOrder="0" vertical="center"/>
    </xf>
    <xf borderId="0" fillId="0" fontId="4" numFmtId="4" xfId="0" applyAlignment="1" applyFont="1" applyNumberFormat="1">
      <alignment horizontal="center" readingOrder="0" vertical="center"/>
    </xf>
    <xf borderId="0" fillId="0" fontId="11" numFmtId="4" xfId="0" applyAlignment="1" applyFont="1" applyNumberFormat="1">
      <alignment vertical="center"/>
    </xf>
    <xf borderId="0" fillId="0" fontId="4" numFmtId="0" xfId="0" applyAlignment="1" applyFont="1">
      <alignment readingOrder="0" vertical="center"/>
    </xf>
    <xf borderId="0" fillId="0" fontId="7" numFmtId="0" xfId="0" applyAlignment="1" applyFont="1">
      <alignment readingOrder="0"/>
    </xf>
    <xf borderId="0" fillId="15" fontId="4" numFmtId="0" xfId="0" applyAlignment="1" applyFont="1">
      <alignment vertical="center"/>
    </xf>
    <xf borderId="0" fillId="15" fontId="4" numFmtId="0" xfId="0" applyAlignment="1" applyFont="1">
      <alignment horizontal="center" vertical="center"/>
    </xf>
    <xf borderId="0" fillId="0" fontId="4" numFmtId="4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15" fontId="4" numFmtId="0" xfId="0" applyFont="1"/>
    <xf borderId="0" fillId="0" fontId="7" numFmtId="0" xfId="0" applyFont="1"/>
    <xf borderId="0" fillId="0" fontId="7" numFmtId="0" xfId="0" applyAlignment="1" applyFont="1">
      <alignment readingOrder="0"/>
    </xf>
    <xf borderId="0" fillId="0" fontId="18" numFmtId="3" xfId="0" applyFont="1" applyNumberFormat="1"/>
    <xf borderId="0" fillId="0" fontId="7" numFmtId="4" xfId="0" applyAlignment="1" applyFont="1" applyNumberFormat="1">
      <alignment readingOrder="0"/>
    </xf>
    <xf borderId="0" fillId="0" fontId="7" numFmtId="4" xfId="0" applyFont="1" applyNumberFormat="1"/>
    <xf borderId="0" fillId="0" fontId="18" numFmtId="4" xfId="0" applyFont="1" applyNumberFormat="1"/>
    <xf borderId="0" fillId="0" fontId="7" numFmtId="1" xfId="0" applyAlignment="1" applyFont="1" applyNumberFormat="1">
      <alignment readingOrder="0"/>
    </xf>
    <xf borderId="0" fillId="0" fontId="7" numFmtId="1" xfId="0" applyFont="1" applyNumberFormat="1"/>
    <xf borderId="0" fillId="0" fontId="18" numFmtId="1" xfId="0" applyFont="1" applyNumberFormat="1"/>
    <xf borderId="0" fillId="0" fontId="4" numFmtId="1" xfId="0" applyAlignment="1" applyFont="1" applyNumberFormat="1">
      <alignment vertical="center"/>
    </xf>
    <xf borderId="0" fillId="0" fontId="4" numFmtId="1" xfId="0" applyAlignment="1" applyFont="1" applyNumberFormat="1">
      <alignment horizontal="center" vertical="center"/>
    </xf>
    <xf borderId="0" fillId="0" fontId="18" numFmtId="1" xfId="0" applyAlignment="1" applyFont="1" applyNumberFormat="1">
      <alignment readingOrder="0"/>
    </xf>
    <xf borderId="0" fillId="0" fontId="4" numFmtId="1" xfId="0" applyAlignment="1" applyFont="1" applyNumberFormat="1">
      <alignment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readingOrder="0"/>
    </xf>
    <xf borderId="0" fillId="15" fontId="7" numFmtId="0" xfId="0" applyAlignment="1" applyFont="1">
      <alignment readingOrder="0"/>
    </xf>
    <xf borderId="3" fillId="0" fontId="2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horizontal="center"/>
    </xf>
    <xf borderId="1" fillId="0" fontId="2" numFmtId="4" xfId="0" applyAlignment="1" applyBorder="1" applyFont="1" applyNumberFormat="1">
      <alignment horizontal="center" shrinkToFit="0" vertical="bottom" wrapText="0"/>
    </xf>
    <xf borderId="3" fillId="14" fontId="5" numFmtId="170" xfId="0" applyAlignment="1" applyBorder="1" applyFont="1" applyNumberFormat="1">
      <alignment horizontal="center" readingOrder="0"/>
    </xf>
    <xf borderId="3" fillId="14" fontId="5" numFmtId="165" xfId="0" applyAlignment="1" applyBorder="1" applyFont="1" applyNumberFormat="1">
      <alignment horizontal="center" readingOrder="0"/>
    </xf>
    <xf borderId="3" fillId="14" fontId="5" numFmtId="165" xfId="0" applyAlignment="1" applyBorder="1" applyFont="1" applyNumberFormat="1">
      <alignment horizontal="center"/>
    </xf>
    <xf borderId="3" fillId="0" fontId="4" numFmtId="165" xfId="0" applyAlignment="1" applyBorder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3" fillId="14" fontId="4" numFmtId="168" xfId="0" applyAlignment="1" applyBorder="1" applyFont="1" applyNumberFormat="1">
      <alignment horizontal="center" readingOrder="0"/>
    </xf>
    <xf borderId="5" fillId="14" fontId="5" numFmtId="165" xfId="0" applyAlignment="1" applyBorder="1" applyFont="1" applyNumberFormat="1">
      <alignment horizontal="center" readingOrder="0"/>
    </xf>
    <xf borderId="3" fillId="14" fontId="4" numFmtId="165" xfId="0" applyBorder="1" applyFont="1" applyNumberFormat="1"/>
    <xf borderId="3" fillId="0" fontId="4" numFmtId="164" xfId="0" applyBorder="1" applyFont="1" applyNumberFormat="1"/>
    <xf borderId="3" fillId="14" fontId="5" numFmtId="169" xfId="0" applyAlignment="1" applyBorder="1" applyFont="1" applyNumberFormat="1">
      <alignment horizontal="center" readingOrder="0"/>
    </xf>
    <xf borderId="0" fillId="0" fontId="5" numFmtId="164" xfId="0" applyAlignment="1" applyFont="1" applyNumberFormat="1">
      <alignment horizontal="center"/>
    </xf>
    <xf borderId="3" fillId="14" fontId="14" numFmtId="165" xfId="0" applyAlignment="1" applyBorder="1" applyFont="1" applyNumberFormat="1">
      <alignment horizontal="center" readingOrder="0"/>
    </xf>
    <xf borderId="3" fillId="0" fontId="5" numFmtId="164" xfId="0" applyBorder="1" applyFont="1" applyNumberFormat="1"/>
    <xf borderId="3" fillId="14" fontId="0" numFmtId="165" xfId="0" applyAlignment="1" applyBorder="1" applyFont="1" applyNumberFormat="1">
      <alignment horizontal="center" readingOrder="0"/>
    </xf>
    <xf borderId="3" fillId="14" fontId="5" numFmtId="165" xfId="0" applyAlignment="1" applyBorder="1" applyFont="1" applyNumberFormat="1">
      <alignment readingOrder="0"/>
    </xf>
    <xf borderId="3" fillId="0" fontId="4" numFmtId="165" xfId="0" applyBorder="1" applyFont="1" applyNumberFormat="1"/>
    <xf borderId="3" fillId="14" fontId="5" numFmtId="168" xfId="0" applyAlignment="1" applyBorder="1" applyFont="1" applyNumberFormat="1">
      <alignment horizontal="center" readingOrder="0"/>
    </xf>
    <xf borderId="3" fillId="14" fontId="0" numFmtId="169" xfId="0" applyAlignment="1" applyBorder="1" applyFont="1" applyNumberFormat="1">
      <alignment horizontal="center" readingOrder="0"/>
    </xf>
    <xf borderId="3" fillId="14" fontId="7" numFmtId="165" xfId="0" applyAlignment="1" applyBorder="1" applyFont="1" applyNumberFormat="1">
      <alignment horizontal="center" readingOrder="0" vertical="bottom"/>
    </xf>
    <xf borderId="1" fillId="14" fontId="0" numFmtId="169" xfId="0" applyAlignment="1" applyBorder="1" applyFont="1" applyNumberFormat="1">
      <alignment horizontal="center" readingOrder="0"/>
    </xf>
    <xf borderId="1" fillId="14" fontId="5" numFmtId="165" xfId="0" applyAlignment="1" applyBorder="1" applyFont="1" applyNumberFormat="1">
      <alignment horizontal="center" readingOrder="0"/>
    </xf>
    <xf borderId="1" fillId="14" fontId="5" numFmtId="165" xfId="0" applyAlignment="1" applyBorder="1" applyFont="1" applyNumberFormat="1">
      <alignment readingOrder="0"/>
    </xf>
    <xf borderId="4" fillId="14" fontId="7" numFmtId="165" xfId="0" applyAlignment="1" applyBorder="1" applyFont="1" applyNumberFormat="1">
      <alignment horizontal="center" readingOrder="0" vertical="bottom"/>
    </xf>
    <xf borderId="3" fillId="0" fontId="5" numFmtId="164" xfId="0" applyAlignment="1" applyBorder="1" applyFont="1" applyNumberFormat="1">
      <alignment readingOrder="0"/>
    </xf>
    <xf borderId="3" fillId="14" fontId="5" numFmtId="165" xfId="0" applyAlignment="1" applyBorder="1" applyFont="1" applyNumberFormat="1">
      <alignment horizontal="right" readingOrder="0"/>
    </xf>
    <xf borderId="1" fillId="0" fontId="5" numFmtId="165" xfId="0" applyBorder="1" applyFont="1" applyNumberFormat="1"/>
    <xf borderId="1" fillId="14" fontId="5" numFmtId="168" xfId="0" applyAlignment="1" applyBorder="1" applyFont="1" applyNumberFormat="1">
      <alignment horizontal="center" readingOrder="0"/>
    </xf>
    <xf borderId="1" fillId="14" fontId="5" numFmtId="165" xfId="0" applyAlignment="1" applyBorder="1" applyFont="1" applyNumberFormat="1">
      <alignment horizontal="right"/>
    </xf>
    <xf borderId="3" fillId="14" fontId="5" numFmtId="0" xfId="0" applyBorder="1" applyFont="1"/>
    <xf borderId="0" fillId="0" fontId="5" numFmtId="164" xfId="0" applyAlignment="1" applyFont="1" applyNumberFormat="1">
      <alignment horizontal="center" readingOrder="0"/>
    </xf>
    <xf borderId="3" fillId="14" fontId="6" numFmtId="165" xfId="0" applyAlignment="1" applyBorder="1" applyFont="1" applyNumberFormat="1">
      <alignment horizontal="center" readingOrder="0"/>
    </xf>
    <xf borderId="3" fillId="14" fontId="5" numFmtId="165" xfId="0" applyAlignment="1" applyBorder="1" applyFont="1" applyNumberFormat="1">
      <alignment horizontal="right"/>
    </xf>
    <xf borderId="6" fillId="0" fontId="5" numFmtId="164" xfId="0" applyBorder="1" applyFont="1" applyNumberFormat="1"/>
    <xf borderId="4" fillId="14" fontId="14" numFmtId="165" xfId="0" applyAlignment="1" applyBorder="1" applyFont="1" applyNumberFormat="1">
      <alignment horizontal="center" readingOrder="0"/>
    </xf>
    <xf borderId="0" fillId="0" fontId="4" numFmtId="164" xfId="0" applyFont="1" applyNumberFormat="1"/>
    <xf borderId="3" fillId="0" fontId="5" numFmtId="164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/>
    </xf>
    <xf borderId="3" fillId="14" fontId="5" numFmtId="4" xfId="0" applyAlignment="1" applyBorder="1" applyFont="1" applyNumberFormat="1">
      <alignment horizontal="center" readingOrder="0"/>
    </xf>
    <xf borderId="3" fillId="14" fontId="5" numFmtId="165" xfId="0" applyBorder="1" applyFont="1" applyNumberFormat="1"/>
    <xf borderId="3" fillId="0" fontId="5" numFmtId="165" xfId="0" applyAlignment="1" applyBorder="1" applyFont="1" applyNumberFormat="1">
      <alignment horizontal="left" readingOrder="0"/>
    </xf>
    <xf borderId="3" fillId="0" fontId="2" numFmtId="164" xfId="0" applyAlignment="1" applyBorder="1" applyFont="1" applyNumberFormat="1">
      <alignment horizontal="center" shrinkToFit="0" vertical="bottom" wrapText="0"/>
    </xf>
    <xf borderId="3" fillId="0" fontId="10" numFmtId="0" xfId="0" applyAlignment="1" applyBorder="1" applyFont="1">
      <alignment horizontal="center" readingOrder="0"/>
    </xf>
    <xf borderId="3" fillId="0" fontId="2" numFmtId="4" xfId="0" applyAlignment="1" applyBorder="1" applyFont="1" applyNumberFormat="1">
      <alignment horizontal="center" shrinkToFit="0" vertical="bottom" wrapText="0"/>
    </xf>
    <xf borderId="3" fillId="0" fontId="4" numFmtId="4" xfId="0" applyAlignment="1" applyBorder="1" applyFont="1" applyNumberFormat="1">
      <alignment readingOrder="0"/>
    </xf>
    <xf borderId="3" fillId="14" fontId="5" numFmtId="164" xfId="0" applyAlignment="1" applyBorder="1" applyFont="1" applyNumberFormat="1">
      <alignment horizontal="center" readingOrder="0"/>
    </xf>
    <xf borderId="3" fillId="14" fontId="5" numFmtId="164" xfId="0" applyAlignment="1" applyBorder="1" applyFont="1" applyNumberFormat="1">
      <alignment horizontal="center"/>
    </xf>
    <xf borderId="3" fillId="0" fontId="0" numFmtId="164" xfId="0" applyAlignment="1" applyBorder="1" applyFont="1" applyNumberFormat="1">
      <alignment horizontal="center" shrinkToFit="0" vertical="bottom" wrapText="0"/>
    </xf>
    <xf borderId="3" fillId="0" fontId="4" numFmtId="164" xfId="0" applyAlignment="1" applyBorder="1" applyFont="1" applyNumberFormat="1">
      <alignment horizontal="center"/>
    </xf>
    <xf borderId="3" fillId="14" fontId="4" numFmtId="164" xfId="0" applyAlignment="1" applyBorder="1" applyFont="1" applyNumberFormat="1">
      <alignment horizontal="center" readingOrder="0"/>
    </xf>
    <xf borderId="3" fillId="0" fontId="5" numFmtId="164" xfId="0" applyAlignment="1" applyBorder="1" applyFont="1" applyNumberFormat="1">
      <alignment horizontal="center"/>
    </xf>
    <xf borderId="3" fillId="14" fontId="25" numFmtId="169" xfId="0" applyAlignment="1" applyBorder="1" applyFont="1" applyNumberFormat="1">
      <alignment horizontal="center" readingOrder="0"/>
    </xf>
    <xf borderId="3" fillId="27" fontId="5" numFmtId="164" xfId="0" applyAlignment="1" applyBorder="1" applyFont="1" applyNumberFormat="1">
      <alignment horizontal="center" readingOrder="0"/>
    </xf>
    <xf borderId="3" fillId="14" fontId="7" numFmtId="164" xfId="0" applyAlignment="1" applyBorder="1" applyFont="1" applyNumberFormat="1">
      <alignment horizontal="center" vertical="bottom"/>
    </xf>
    <xf borderId="1" fillId="14" fontId="5" numFmtId="164" xfId="0" applyAlignment="1" applyBorder="1" applyFont="1" applyNumberFormat="1">
      <alignment horizontal="center" readingOrder="0"/>
    </xf>
    <xf borderId="1" fillId="14" fontId="5" numFmtId="164" xfId="0" applyAlignment="1" applyBorder="1" applyFont="1" applyNumberFormat="1">
      <alignment horizontal="center"/>
    </xf>
    <xf borderId="1" fillId="0" fontId="5" numFmtId="164" xfId="0" applyBorder="1" applyFont="1" applyNumberFormat="1"/>
    <xf borderId="4" fillId="14" fontId="7" numFmtId="164" xfId="0" applyAlignment="1" applyBorder="1" applyFont="1" applyNumberFormat="1">
      <alignment horizontal="center" vertical="bottom"/>
    </xf>
    <xf borderId="3" fillId="14" fontId="5" numFmtId="164" xfId="0" applyAlignment="1" applyBorder="1" applyFont="1" applyNumberFormat="1">
      <alignment readingOrder="0"/>
    </xf>
    <xf borderId="1" fillId="14" fontId="5" numFmtId="169" xfId="0" applyAlignment="1" applyBorder="1" applyFont="1" applyNumberFormat="1">
      <alignment horizontal="center" readingOrder="0"/>
    </xf>
    <xf borderId="3" fillId="14" fontId="6" numFmtId="164" xfId="0" applyAlignment="1" applyBorder="1" applyFont="1" applyNumberFormat="1">
      <alignment horizontal="center" readingOrder="0"/>
    </xf>
    <xf borderId="3" fillId="0" fontId="5" numFmtId="4" xfId="0" applyAlignment="1" applyBorder="1" applyFont="1" applyNumberFormat="1">
      <alignment horizontal="center" readingOrder="0"/>
    </xf>
    <xf borderId="3" fillId="0" fontId="5" numFmtId="4" xfId="0" applyAlignment="1" applyBorder="1" applyFont="1" applyNumberFormat="1">
      <alignment horizontal="center"/>
    </xf>
    <xf borderId="0" fillId="36" fontId="16" numFmtId="0" xfId="0" applyAlignment="1" applyFill="1" applyFont="1">
      <alignment horizontal="center" readingOrder="0" shrinkToFit="0" vertical="bottom" wrapText="0"/>
    </xf>
    <xf borderId="11" fillId="15" fontId="16" numFmtId="0" xfId="0" applyAlignment="1" applyBorder="1" applyFont="1">
      <alignment horizontal="center" readingOrder="0" shrinkToFit="0" vertical="bottom" wrapText="1"/>
    </xf>
    <xf borderId="11" fillId="36" fontId="16" numFmtId="0" xfId="0" applyAlignment="1" applyBorder="1" applyFont="1">
      <alignment horizontal="center" readingOrder="0" shrinkToFit="0" vertical="bottom" wrapText="1"/>
    </xf>
    <xf borderId="11" fillId="37" fontId="16" numFmtId="0" xfId="0" applyAlignment="1" applyBorder="1" applyFill="1" applyFont="1">
      <alignment horizontal="center" readingOrder="0" shrinkToFit="0" vertical="bottom" wrapText="0"/>
    </xf>
    <xf borderId="11" fillId="15" fontId="16" numFmtId="0" xfId="0" applyAlignment="1" applyBorder="1" applyFont="1">
      <alignment horizontal="center" shrinkToFit="0" vertical="bottom" wrapText="0"/>
    </xf>
    <xf borderId="11" fillId="38" fontId="6" numFmtId="0" xfId="0" applyAlignment="1" applyBorder="1" applyFill="1" applyFont="1">
      <alignment horizontal="right" readingOrder="0" shrinkToFit="0" vertical="bottom" wrapText="0"/>
    </xf>
    <xf borderId="11" fillId="15" fontId="6" numFmtId="0" xfId="0" applyAlignment="1" applyBorder="1" applyFont="1">
      <alignment horizontal="right" readingOrder="0" shrinkToFit="0" vertical="bottom" wrapText="0"/>
    </xf>
    <xf borderId="11" fillId="0" fontId="4" numFmtId="0" xfId="0" applyBorder="1" applyFont="1"/>
    <xf borderId="11" fillId="15" fontId="6" numFmtId="170" xfId="0" applyAlignment="1" applyBorder="1" applyFont="1" applyNumberFormat="1">
      <alignment horizontal="center" readingOrder="0" shrinkToFit="0" vertical="bottom" wrapText="0"/>
    </xf>
    <xf borderId="11" fillId="15" fontId="6" numFmtId="0" xfId="0" applyAlignment="1" applyBorder="1" applyFont="1">
      <alignment horizontal="center" readingOrder="0" shrinkToFit="0" vertical="bottom" wrapText="0"/>
    </xf>
    <xf borderId="11" fillId="38" fontId="6" numFmtId="0" xfId="0" applyAlignment="1" applyBorder="1" applyFont="1">
      <alignment horizontal="center" readingOrder="0" shrinkToFit="0" vertical="bottom" wrapText="0"/>
    </xf>
    <xf borderId="11" fillId="15" fontId="6" numFmtId="0" xfId="0" applyAlignment="1" applyBorder="1" applyFont="1">
      <alignment horizontal="left" shrinkToFit="0" vertical="bottom" wrapText="0"/>
    </xf>
    <xf borderId="11" fillId="38" fontId="6" numFmtId="0" xfId="0" applyAlignment="1" applyBorder="1" applyFont="1">
      <alignment horizontal="right" readingOrder="0" shrinkToFit="0" vertical="bottom" wrapText="0"/>
    </xf>
    <xf borderId="11" fillId="15" fontId="6" numFmtId="4" xfId="0" applyAlignment="1" applyBorder="1" applyFont="1" applyNumberFormat="1">
      <alignment horizontal="center" readingOrder="0" shrinkToFit="0" vertical="bottom" wrapText="0"/>
    </xf>
    <xf borderId="12" fillId="38" fontId="6" numFmtId="0" xfId="0" applyAlignment="1" applyBorder="1" applyFont="1">
      <alignment horizontal="right" readingOrder="0" shrinkToFit="0" vertical="bottom" wrapText="0"/>
    </xf>
    <xf borderId="12" fillId="39" fontId="6" numFmtId="0" xfId="0" applyAlignment="1" applyBorder="1" applyFill="1" applyFont="1">
      <alignment horizontal="right" readingOrder="0" shrinkToFit="0" vertical="bottom" wrapText="0"/>
    </xf>
    <xf borderId="11" fillId="39" fontId="6" numFmtId="0" xfId="0" applyAlignment="1" applyBorder="1" applyFont="1">
      <alignment readingOrder="0" vertical="bottom"/>
    </xf>
    <xf borderId="12" fillId="15" fontId="6" numFmtId="0" xfId="0" applyAlignment="1" applyBorder="1" applyFont="1">
      <alignment vertical="bottom"/>
    </xf>
    <xf borderId="11" fillId="15" fontId="6" numFmtId="0" xfId="0" applyAlignment="1" applyBorder="1" applyFont="1">
      <alignment vertical="bottom"/>
    </xf>
    <xf borderId="11" fillId="15" fontId="6" numFmtId="3" xfId="0" applyAlignment="1" applyBorder="1" applyFont="1" applyNumberFormat="1">
      <alignment horizontal="center" readingOrder="0" shrinkToFit="0" vertical="bottom" wrapText="0"/>
    </xf>
    <xf borderId="12" fillId="15" fontId="6" numFmtId="0" xfId="0" applyAlignment="1" applyBorder="1" applyFont="1">
      <alignment horizontal="left" shrinkToFit="0" vertical="bottom" wrapText="0"/>
    </xf>
    <xf borderId="11" fillId="38" fontId="6" numFmtId="170" xfId="0" applyAlignment="1" applyBorder="1" applyFont="1" applyNumberFormat="1">
      <alignment horizontal="center" readingOrder="0" shrinkToFit="0" vertical="bottom" wrapText="0"/>
    </xf>
    <xf borderId="11" fillId="38" fontId="6" numFmtId="4" xfId="0" applyAlignment="1" applyBorder="1" applyFont="1" applyNumberFormat="1">
      <alignment horizontal="center" readingOrder="0" shrinkToFit="0" vertical="bottom" wrapText="0"/>
    </xf>
    <xf borderId="0" fillId="0" fontId="10" numFmtId="174" xfId="0" applyAlignment="1" applyFont="1" applyNumberFormat="1">
      <alignment readingOrder="0"/>
    </xf>
    <xf borderId="13" fillId="0" fontId="10" numFmtId="1" xfId="0" applyAlignment="1" applyBorder="1" applyFont="1" applyNumberFormat="1">
      <alignment readingOrder="0"/>
    </xf>
    <xf borderId="14" fillId="0" fontId="10" numFmtId="1" xfId="0" applyAlignment="1" applyBorder="1" applyFont="1" applyNumberFormat="1">
      <alignment readingOrder="0"/>
    </xf>
    <xf borderId="0" fillId="0" fontId="4" numFmtId="174" xfId="0" applyAlignment="1" applyFont="1" applyNumberFormat="1">
      <alignment readingOrder="0"/>
    </xf>
    <xf borderId="15" fillId="0" fontId="10" numFmtId="0" xfId="0" applyAlignment="1" applyBorder="1" applyFont="1">
      <alignment readingOrder="0"/>
    </xf>
    <xf borderId="16" fillId="0" fontId="10" numFmtId="0" xfId="0" applyBorder="1" applyFont="1"/>
    <xf borderId="15" fillId="0" fontId="4" numFmtId="3" xfId="0" applyAlignment="1" applyBorder="1" applyFont="1" applyNumberFormat="1">
      <alignment readingOrder="0"/>
    </xf>
    <xf borderId="16" fillId="0" fontId="4" numFmtId="3" xfId="0" applyAlignment="1" applyBorder="1" applyFont="1" applyNumberFormat="1">
      <alignment readingOrder="0"/>
    </xf>
    <xf borderId="0" fillId="0" fontId="4" numFmtId="175" xfId="0" applyAlignment="1" applyFont="1" applyNumberFormat="1">
      <alignment horizontal="left" readingOrder="0"/>
    </xf>
    <xf borderId="0" fillId="0" fontId="4" numFmtId="167" xfId="0" applyAlignment="1" applyFont="1" applyNumberFormat="1">
      <alignment horizontal="left" readingOrder="0"/>
    </xf>
    <xf borderId="0" fillId="0" fontId="4" numFmtId="174" xfId="0" applyFont="1" applyNumberFormat="1"/>
    <xf borderId="0" fillId="0" fontId="4" numFmtId="176" xfId="0" applyAlignment="1" applyFont="1" applyNumberFormat="1">
      <alignment readingOrder="0"/>
    </xf>
    <xf borderId="15" fillId="0" fontId="6" numFmtId="3" xfId="0" applyAlignment="1" applyBorder="1" applyFont="1" applyNumberFormat="1">
      <alignment horizontal="left" readingOrder="0"/>
    </xf>
    <xf borderId="16" fillId="0" fontId="4" numFmtId="0" xfId="0" applyBorder="1" applyFont="1"/>
    <xf borderId="0" fillId="15" fontId="6" numFmtId="0" xfId="0" applyAlignment="1" applyFont="1">
      <alignment horizontal="left" readingOrder="0"/>
    </xf>
    <xf borderId="15" fillId="0" fontId="4" numFmtId="3" xfId="0" applyAlignment="1" applyBorder="1" applyFont="1" applyNumberFormat="1">
      <alignment horizontal="left" readingOrder="0"/>
    </xf>
    <xf borderId="0" fillId="0" fontId="4" numFmtId="167" xfId="0" applyAlignment="1" applyFont="1" applyNumberFormat="1">
      <alignment readingOrder="0"/>
    </xf>
    <xf borderId="0" fillId="0" fontId="4" numFmtId="3" xfId="0" applyAlignment="1" applyFont="1" applyNumberFormat="1">
      <alignment horizontal="left"/>
    </xf>
    <xf borderId="15" fillId="0" fontId="4" numFmtId="0" xfId="0" applyAlignment="1" applyBorder="1" applyFont="1">
      <alignment readingOrder="0"/>
    </xf>
    <xf borderId="0" fillId="0" fontId="4" numFmtId="0" xfId="0" applyAlignment="1" applyFont="1">
      <alignment horizontal="left"/>
    </xf>
    <xf borderId="16" fillId="0" fontId="4" numFmtId="0" xfId="0" applyAlignment="1" applyBorder="1" applyFont="1">
      <alignment readingOrder="0"/>
    </xf>
    <xf borderId="16" fillId="0" fontId="4" numFmtId="3" xfId="0" applyBorder="1" applyFont="1" applyNumberFormat="1"/>
    <xf borderId="16" fillId="0" fontId="4" numFmtId="3" xfId="0" applyAlignment="1" applyBorder="1" applyFont="1" applyNumberFormat="1">
      <alignment readingOrder="0"/>
    </xf>
    <xf borderId="0" fillId="0" fontId="4" numFmtId="3" xfId="0" applyAlignment="1" applyFont="1" applyNumberFormat="1">
      <alignment horizontal="left" readingOrder="0"/>
    </xf>
    <xf borderId="17" fillId="0" fontId="4" numFmtId="3" xfId="0" applyAlignment="1" applyBorder="1" applyFont="1" applyNumberFormat="1">
      <alignment readingOrder="0"/>
    </xf>
    <xf borderId="18" fillId="0" fontId="4" numFmtId="3" xfId="0" applyAlignment="1" applyBorder="1" applyFont="1" applyNumberFormat="1">
      <alignment readingOrder="0"/>
    </xf>
    <xf borderId="0" fillId="0" fontId="10" numFmtId="3" xfId="0" applyAlignment="1" applyFont="1" applyNumberFormat="1">
      <alignment readingOrder="0"/>
    </xf>
    <xf borderId="0" fillId="0" fontId="10" numFmtId="3" xfId="0" applyAlignment="1" applyFont="1" applyNumberFormat="1">
      <alignment horizontal="left"/>
    </xf>
    <xf borderId="0" fillId="0" fontId="7" numFmtId="3" xfId="0" applyAlignment="1" applyFont="1" applyNumberFormat="1">
      <alignment vertical="bottom"/>
    </xf>
    <xf borderId="0" fillId="0" fontId="10" numFmtId="3" xfId="0" applyAlignment="1" applyFont="1" applyNumberFormat="1">
      <alignment horizontal="left" readingOrder="0"/>
    </xf>
    <xf borderId="0" fillId="0" fontId="10" numFmtId="3" xfId="0" applyAlignment="1" applyFont="1" applyNumberFormat="1">
      <alignment horizontal="left" readingOrder="0"/>
    </xf>
    <xf borderId="0" fillId="0" fontId="4" numFmtId="177" xfId="0" applyAlignment="1" applyFont="1" applyNumberFormat="1">
      <alignment readingOrder="0"/>
    </xf>
    <xf borderId="0" fillId="0" fontId="4" numFmtId="178" xfId="0" applyAlignment="1" applyFont="1" applyNumberFormat="1">
      <alignment horizontal="left" readingOrder="0"/>
    </xf>
    <xf borderId="0" fillId="0" fontId="4" numFmtId="178" xfId="0" applyAlignment="1" applyFont="1" applyNumberFormat="1">
      <alignment horizontal="center" readingOrder="0"/>
    </xf>
    <xf borderId="0" fillId="0" fontId="4" numFmtId="165" xfId="0" applyAlignment="1" applyFont="1" applyNumberFormat="1">
      <alignment horizontal="center" readingOrder="0"/>
    </xf>
    <xf borderId="19" fillId="0" fontId="7" numFmtId="176" xfId="0" applyAlignment="1" applyBorder="1" applyFont="1" applyNumberFormat="1">
      <alignment horizontal="right" vertical="bottom"/>
    </xf>
    <xf borderId="0" fillId="0" fontId="10" numFmtId="178" xfId="0" applyFont="1" applyNumberFormat="1"/>
    <xf borderId="19" fillId="0" fontId="7" numFmtId="176" xfId="0" applyAlignment="1" applyBorder="1" applyFont="1" applyNumberFormat="1">
      <alignment horizontal="right" readingOrder="0" vertical="bottom"/>
    </xf>
    <xf borderId="0" fillId="0" fontId="4" numFmtId="178" xfId="0" applyAlignment="1" applyFont="1" applyNumberFormat="1">
      <alignment horizontal="left"/>
    </xf>
    <xf borderId="0" fillId="0" fontId="7" numFmtId="176" xfId="0" applyAlignment="1" applyFont="1" applyNumberFormat="1">
      <alignment vertical="bottom"/>
    </xf>
    <xf borderId="0" fillId="0" fontId="4" numFmtId="0" xfId="0" applyAlignment="1" applyFont="1">
      <alignment horizontal="center" readingOrder="0"/>
    </xf>
    <xf borderId="0" fillId="0" fontId="4" numFmtId="165" xfId="0" applyAlignment="1" applyFont="1" applyNumberFormat="1">
      <alignment horizontal="left" readingOrder="0"/>
    </xf>
    <xf borderId="0" fillId="0" fontId="7" numFmtId="177" xfId="0" applyAlignment="1" applyFont="1" applyNumberFormat="1">
      <alignment readingOrder="0" vertical="bottom"/>
    </xf>
    <xf borderId="19" fillId="0" fontId="7" numFmtId="176" xfId="0" applyAlignment="1" applyBorder="1" applyFont="1" applyNumberFormat="1">
      <alignment vertical="bottom"/>
    </xf>
    <xf borderId="11" fillId="0" fontId="7" numFmtId="176" xfId="0" applyAlignment="1" applyBorder="1" applyFont="1" applyNumberFormat="1">
      <alignment vertical="bottom"/>
    </xf>
    <xf borderId="11" fillId="0" fontId="4" numFmtId="178" xfId="0" applyAlignment="1" applyBorder="1" applyFont="1" applyNumberFormat="1">
      <alignment horizontal="left" readingOrder="0"/>
    </xf>
    <xf borderId="11" fillId="0" fontId="4" numFmtId="178" xfId="0" applyAlignment="1" applyBorder="1" applyFont="1" applyNumberFormat="1">
      <alignment horizontal="center" readingOrder="0"/>
    </xf>
    <xf borderId="11" fillId="0" fontId="4" numFmtId="165" xfId="0" applyAlignment="1" applyBorder="1" applyFont="1" applyNumberFormat="1">
      <alignment horizontal="center" readingOrder="0"/>
    </xf>
    <xf borderId="11" fillId="40" fontId="4" numFmtId="179" xfId="0" applyAlignment="1" applyBorder="1" applyFill="1" applyFont="1" applyNumberFormat="1">
      <alignment horizontal="left" readingOrder="0"/>
    </xf>
    <xf borderId="11" fillId="41" fontId="4" numFmtId="0" xfId="0" applyAlignment="1" applyBorder="1" applyFill="1" applyFont="1">
      <alignment horizontal="center"/>
    </xf>
    <xf borderId="11" fillId="42" fontId="4" numFmtId="0" xfId="0" applyAlignment="1" applyBorder="1" applyFill="1" applyFont="1">
      <alignment horizontal="center"/>
    </xf>
    <xf borderId="11" fillId="41" fontId="4" numFmtId="165" xfId="0" applyAlignment="1" applyBorder="1" applyFont="1" applyNumberFormat="1">
      <alignment horizontal="center"/>
    </xf>
    <xf borderId="11" fillId="40" fontId="4" numFmtId="0" xfId="0" applyAlignment="1" applyBorder="1" applyFont="1">
      <alignment horizontal="left" readingOrder="0"/>
    </xf>
    <xf borderId="11" fillId="43" fontId="4" numFmtId="0" xfId="0" applyAlignment="1" applyBorder="1" applyFill="1" applyFont="1">
      <alignment horizontal="center" readingOrder="0"/>
    </xf>
    <xf borderId="11" fillId="43" fontId="4" numFmtId="0" xfId="0" applyAlignment="1" applyBorder="1" applyFont="1">
      <alignment horizontal="left" readingOrder="0"/>
    </xf>
    <xf borderId="11" fillId="43" fontId="4" numFmtId="179" xfId="0" applyAlignment="1" applyBorder="1" applyFont="1" applyNumberFormat="1">
      <alignment horizontal="center" readingOrder="0"/>
    </xf>
    <xf borderId="11" fillId="43" fontId="4" numFmtId="179" xfId="0" applyAlignment="1" applyBorder="1" applyFont="1" applyNumberFormat="1">
      <alignment horizontal="left" readingOrder="0"/>
    </xf>
    <xf borderId="11" fillId="44" fontId="4" numFmtId="0" xfId="0" applyAlignment="1" applyBorder="1" applyFill="1" applyFont="1">
      <alignment horizontal="center" readingOrder="0"/>
    </xf>
    <xf borderId="11" fillId="44" fontId="4" numFmtId="165" xfId="0" applyAlignment="1" applyBorder="1" applyFont="1" applyNumberFormat="1">
      <alignment horizontal="center" readingOrder="0"/>
    </xf>
    <xf borderId="11" fillId="29" fontId="4" numFmtId="0" xfId="0" applyAlignment="1" applyBorder="1" applyFont="1">
      <alignment horizontal="center" readingOrder="0"/>
    </xf>
    <xf borderId="11" fillId="42" fontId="4" numFmtId="0" xfId="0" applyAlignment="1" applyBorder="1" applyFont="1">
      <alignment horizontal="center" readingOrder="0"/>
    </xf>
    <xf borderId="11" fillId="44" fontId="4" numFmtId="0" xfId="0" applyAlignment="1" applyBorder="1" applyFont="1">
      <alignment horizontal="left" readingOrder="0"/>
    </xf>
    <xf borderId="11" fillId="41" fontId="4" numFmtId="0" xfId="0" applyAlignment="1" applyBorder="1" applyFont="1">
      <alignment horizontal="left" readingOrder="0"/>
    </xf>
    <xf borderId="11" fillId="45" fontId="4" numFmtId="0" xfId="0" applyAlignment="1" applyBorder="1" applyFill="1" applyFont="1">
      <alignment horizontal="left" readingOrder="0"/>
    </xf>
    <xf borderId="11" fillId="45" fontId="4" numFmtId="0" xfId="0" applyAlignment="1" applyBorder="1" applyFont="1">
      <alignment horizontal="center" readingOrder="0"/>
    </xf>
    <xf borderId="11" fillId="45" fontId="4" numFmtId="165" xfId="0" applyAlignment="1" applyBorder="1" applyFont="1" applyNumberFormat="1">
      <alignment horizontal="center" readingOrder="0"/>
    </xf>
    <xf borderId="11" fillId="42" fontId="7" numFmtId="0" xfId="0" applyAlignment="1" applyBorder="1" applyFont="1">
      <alignment vertical="bottom"/>
    </xf>
    <xf borderId="11" fillId="29" fontId="7" numFmtId="0" xfId="0" applyAlignment="1" applyBorder="1" applyFont="1">
      <alignment vertical="bottom"/>
    </xf>
    <xf borderId="11" fillId="43" fontId="4" numFmtId="165" xfId="0" applyAlignment="1" applyBorder="1" applyFont="1" applyNumberFormat="1">
      <alignment horizontal="center" readingOrder="0"/>
    </xf>
    <xf borderId="11" fillId="42" fontId="7" numFmtId="0" xfId="0" applyAlignment="1" applyBorder="1" applyFont="1">
      <alignment vertical="bottom"/>
    </xf>
    <xf borderId="11" fillId="29" fontId="7" numFmtId="0" xfId="0" applyAlignment="1" applyBorder="1" applyFont="1">
      <alignment vertical="bottom"/>
    </xf>
    <xf borderId="11" fillId="43" fontId="4" numFmtId="165" xfId="0" applyAlignment="1" applyBorder="1" applyFont="1" applyNumberFormat="1">
      <alignment horizontal="center"/>
    </xf>
    <xf borderId="11" fillId="29" fontId="4" numFmtId="0" xfId="0" applyAlignment="1" applyBorder="1" applyFont="1">
      <alignment horizontal="left" readingOrder="0"/>
    </xf>
    <xf borderId="11" fillId="29" fontId="7" numFmtId="0" xfId="0" applyAlignment="1" applyBorder="1" applyFont="1">
      <alignment horizontal="left" vertical="bottom"/>
    </xf>
    <xf borderId="11" fillId="41" fontId="4" numFmtId="0" xfId="0" applyAlignment="1" applyBorder="1" applyFont="1">
      <alignment horizontal="center" readingOrder="0"/>
    </xf>
    <xf borderId="11" fillId="40" fontId="4" numFmtId="165" xfId="0" applyAlignment="1" applyBorder="1" applyFont="1" applyNumberFormat="1">
      <alignment horizontal="center" readingOrder="0"/>
    </xf>
    <xf borderId="0" fillId="0" fontId="4" numFmtId="0" xfId="0" applyAlignment="1" applyFont="1">
      <alignment horizontal="center" readingOrder="0" shrinkToFit="0" wrapText="0"/>
    </xf>
    <xf borderId="0" fillId="0" fontId="4" numFmtId="165" xfId="0" applyAlignment="1" applyFont="1" applyNumberFormat="1">
      <alignment horizontal="center" readingOrder="0" shrinkToFit="0" wrapText="0"/>
    </xf>
    <xf borderId="0" fillId="0" fontId="5" numFmtId="0" xfId="0" applyAlignment="1" applyFont="1">
      <alignment horizontal="right" readingOrder="0"/>
    </xf>
    <xf borderId="0" fillId="0" fontId="5" numFmtId="165" xfId="0" applyAlignment="1" applyFont="1" applyNumberFormat="1">
      <alignment readingOrder="0"/>
    </xf>
    <xf borderId="11" fillId="26" fontId="4" numFmtId="0" xfId="0" applyAlignment="1" applyBorder="1" applyFont="1">
      <alignment horizontal="center" readingOrder="0"/>
    </xf>
    <xf borderId="11" fillId="16" fontId="4" numFmtId="0" xfId="0" applyAlignment="1" applyBorder="1" applyFont="1">
      <alignment horizontal="center" readingOrder="0"/>
    </xf>
    <xf borderId="11" fillId="21" fontId="4" numFmtId="0" xfId="0" applyAlignment="1" applyBorder="1" applyFont="1">
      <alignment horizontal="center" readingOrder="0"/>
    </xf>
    <xf borderId="11" fillId="26" fontId="4" numFmtId="0" xfId="0" applyAlignment="1" applyBorder="1" applyFont="1">
      <alignment horizontal="center"/>
    </xf>
    <xf borderId="11" fillId="16" fontId="4" numFmtId="0" xfId="0" applyAlignment="1" applyBorder="1" applyFont="1">
      <alignment horizontal="center"/>
    </xf>
    <xf borderId="11" fillId="21" fontId="4" numFmtId="0" xfId="0" applyAlignment="1" applyBorder="1" applyFont="1">
      <alignment horizontal="center"/>
    </xf>
    <xf borderId="11" fillId="0" fontId="4" numFmtId="0" xfId="0" applyAlignment="1" applyBorder="1" applyFont="1">
      <alignment horizontal="center"/>
    </xf>
    <xf borderId="11" fillId="43" fontId="4" numFmtId="0" xfId="0" applyAlignment="1" applyBorder="1" applyFont="1">
      <alignment horizontal="center"/>
    </xf>
    <xf borderId="11" fillId="0" fontId="4" numFmtId="0" xfId="0" applyAlignment="1" applyBorder="1" applyFont="1">
      <alignment horizontal="center" readingOrder="0"/>
    </xf>
    <xf borderId="0" fillId="6" fontId="4" numFmtId="0" xfId="0" applyFont="1"/>
    <xf borderId="0" fillId="0" fontId="5" numFmtId="0" xfId="0" applyAlignment="1" applyFont="1">
      <alignment horizontal="right"/>
    </xf>
    <xf borderId="11" fillId="6" fontId="4" numFmtId="0" xfId="0" applyAlignment="1" applyBorder="1" applyFont="1">
      <alignment horizontal="center" readingOrder="0"/>
    </xf>
    <xf borderId="0" fillId="0" fontId="7" numFmtId="0" xfId="0" applyAlignment="1" applyFont="1">
      <alignment horizontal="left" readingOrder="0" vertical="bottom"/>
    </xf>
    <xf borderId="0" fillId="0" fontId="7" numFmtId="173" xfId="0" applyAlignment="1" applyFont="1" applyNumberFormat="1">
      <alignment horizontal="center" readingOrder="0" vertical="bottom"/>
    </xf>
    <xf borderId="0" fillId="0" fontId="7" numFmtId="4" xfId="0" applyAlignment="1" applyFont="1" applyNumberFormat="1">
      <alignment horizontal="center" vertical="bottom"/>
    </xf>
    <xf borderId="0" fillId="0" fontId="7" numFmtId="178" xfId="0" applyAlignment="1" applyFont="1" applyNumberFormat="1">
      <alignment horizontal="center" readingOrder="0" vertical="bottom"/>
    </xf>
    <xf borderId="0" fillId="0" fontId="4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1" numFmtId="165" xfId="0" applyFont="1" applyNumberFormat="1"/>
    <xf borderId="0" fillId="0" fontId="7" numFmtId="0" xfId="0" applyAlignment="1" applyFont="1">
      <alignment horizontal="left" vertical="bottom"/>
    </xf>
    <xf borderId="0" fillId="0" fontId="7" numFmtId="0" xfId="0" applyAlignment="1" applyFont="1">
      <alignment horizontal="center" readingOrder="0" vertical="bottom"/>
    </xf>
    <xf borderId="0" fillId="0" fontId="5" numFmtId="165" xfId="0" applyFont="1" applyNumberFormat="1"/>
    <xf borderId="0" fillId="0" fontId="7" numFmtId="0" xfId="0" applyAlignment="1" applyFont="1">
      <alignment horizontal="center" vertical="bottom"/>
    </xf>
    <xf borderId="0" fillId="44" fontId="5" numFmtId="0" xfId="0" applyAlignment="1" applyFont="1">
      <alignment readingOrder="0"/>
    </xf>
    <xf borderId="0" fillId="44" fontId="5" numFmtId="0" xfId="0" applyAlignment="1" applyFont="1">
      <alignment horizontal="right" readingOrder="0"/>
    </xf>
    <xf borderId="0" fillId="0" fontId="7" numFmtId="178" xfId="0" applyAlignment="1" applyFont="1" applyNumberFormat="1">
      <alignment horizontal="left" readingOrder="0" vertical="bottom"/>
    </xf>
    <xf borderId="20" fillId="0" fontId="7" numFmtId="178" xfId="0" applyAlignment="1" applyBorder="1" applyFont="1" applyNumberFormat="1">
      <alignment horizontal="left" readingOrder="0" vertical="bottom"/>
    </xf>
    <xf borderId="20" fillId="0" fontId="7" numFmtId="178" xfId="0" applyAlignment="1" applyBorder="1" applyFont="1" applyNumberFormat="1">
      <alignment horizontal="center" readingOrder="0" vertical="bottom"/>
    </xf>
    <xf borderId="18" fillId="40" fontId="7" numFmtId="179" xfId="0" applyAlignment="1" applyBorder="1" applyFont="1" applyNumberFormat="1">
      <alignment horizontal="left" vertical="bottom"/>
    </xf>
    <xf borderId="18" fillId="43" fontId="7" numFmtId="0" xfId="0" applyAlignment="1" applyBorder="1" applyFont="1">
      <alignment horizontal="center" vertical="bottom"/>
    </xf>
    <xf borderId="18" fillId="41" fontId="7" numFmtId="0" xfId="0" applyAlignment="1" applyBorder="1" applyFont="1">
      <alignment horizontal="center" vertical="bottom"/>
    </xf>
    <xf borderId="18" fillId="43" fontId="7" numFmtId="0" xfId="0" applyAlignment="1" applyBorder="1" applyFont="1">
      <alignment horizontal="center" readingOrder="0" vertical="bottom"/>
    </xf>
    <xf borderId="18" fillId="45" fontId="7" numFmtId="0" xfId="0" applyAlignment="1" applyBorder="1" applyFont="1">
      <alignment horizontal="center" vertical="bottom"/>
    </xf>
    <xf borderId="18" fillId="45" fontId="7" numFmtId="0" xfId="0" applyAlignment="1" applyBorder="1" applyFont="1">
      <alignment horizontal="center" readingOrder="0" vertical="bottom"/>
    </xf>
    <xf borderId="18" fillId="46" fontId="7" numFmtId="0" xfId="0" applyAlignment="1" applyBorder="1" applyFill="1" applyFont="1">
      <alignment horizontal="center" readingOrder="0" vertical="bottom"/>
    </xf>
    <xf borderId="18" fillId="0" fontId="7" numFmtId="0" xfId="0" applyAlignment="1" applyBorder="1" applyFont="1">
      <alignment horizontal="center" vertical="bottom"/>
    </xf>
    <xf borderId="18" fillId="41" fontId="7" numFmtId="0" xfId="0" applyAlignment="1" applyBorder="1" applyFont="1">
      <alignment horizontal="center" readingOrder="0" vertical="bottom"/>
    </xf>
    <xf borderId="18" fillId="47" fontId="7" numFmtId="0" xfId="0" applyAlignment="1" applyBorder="1" applyFill="1" applyFont="1">
      <alignment horizontal="center" readingOrder="0" vertical="bottom"/>
    </xf>
    <xf borderId="0" fillId="0" fontId="4" numFmtId="0" xfId="0" applyAlignment="1" applyFont="1">
      <alignment horizontal="right"/>
    </xf>
    <xf borderId="18" fillId="46" fontId="7" numFmtId="0" xfId="0" applyAlignment="1" applyBorder="1" applyFont="1">
      <alignment horizontal="center" vertical="bottom"/>
    </xf>
    <xf borderId="18" fillId="47" fontId="7" numFmtId="0" xfId="0" applyAlignment="1" applyBorder="1" applyFont="1">
      <alignment horizontal="center" vertical="bottom"/>
    </xf>
    <xf borderId="18" fillId="43" fontId="7" numFmtId="0" xfId="0" applyAlignment="1" applyBorder="1" applyFont="1">
      <alignment horizontal="left" readingOrder="0" vertical="bottom"/>
    </xf>
    <xf borderId="18" fillId="43" fontId="7" numFmtId="179" xfId="0" applyAlignment="1" applyBorder="1" applyFont="1" applyNumberFormat="1">
      <alignment horizontal="left" vertical="bottom"/>
    </xf>
    <xf borderId="18" fillId="43" fontId="7" numFmtId="0" xfId="0" applyAlignment="1" applyBorder="1" applyFont="1">
      <alignment horizontal="left" vertical="bottom"/>
    </xf>
    <xf borderId="11" fillId="0" fontId="4" numFmtId="0" xfId="0" applyAlignment="1" applyBorder="1" applyFont="1">
      <alignment readingOrder="0"/>
    </xf>
    <xf borderId="11" fillId="0" fontId="4" numFmtId="178" xfId="0" applyAlignment="1" applyBorder="1" applyFont="1" applyNumberFormat="1">
      <alignment horizontal="right" readingOrder="0"/>
    </xf>
    <xf borderId="11" fillId="0" fontId="4" numFmtId="176" xfId="0" applyAlignment="1" applyBorder="1" applyFont="1" applyNumberFormat="1">
      <alignment readingOrder="0"/>
    </xf>
    <xf borderId="11" fillId="41" fontId="4" numFmtId="0" xfId="0" applyAlignment="1" applyBorder="1" applyFont="1">
      <alignment horizontal="right"/>
    </xf>
    <xf borderId="11" fillId="0" fontId="4" numFmtId="0" xfId="0" applyAlignment="1" applyBorder="1" applyFont="1">
      <alignment horizontal="right"/>
    </xf>
    <xf borderId="11" fillId="44" fontId="4" numFmtId="0" xfId="0" applyAlignment="1" applyBorder="1" applyFont="1">
      <alignment horizontal="right" readingOrder="0"/>
    </xf>
    <xf borderId="11" fillId="0" fontId="4" numFmtId="0" xfId="0" applyAlignment="1" applyBorder="1" applyFont="1">
      <alignment horizontal="center" readingOrder="0" shrinkToFit="0" wrapText="0"/>
    </xf>
    <xf borderId="11" fillId="43" fontId="4" numFmtId="0" xfId="0" applyAlignment="1" applyBorder="1" applyFont="1">
      <alignment horizontal="right" readingOrder="0"/>
    </xf>
    <xf borderId="11" fillId="43" fontId="4" numFmtId="0" xfId="0" applyAlignment="1" applyBorder="1" applyFont="1">
      <alignment horizontal="right"/>
    </xf>
    <xf borderId="0" fillId="15" fontId="6" numFmtId="0" xfId="0" applyAlignment="1" applyFont="1">
      <alignment horizontal="center" readingOrder="0"/>
    </xf>
    <xf borderId="11" fillId="0" fontId="4" numFmtId="179" xfId="0" applyAlignment="1" applyBorder="1" applyFont="1" applyNumberFormat="1">
      <alignment horizontal="left" readingOrder="0"/>
    </xf>
    <xf borderId="11" fillId="40" fontId="4" numFmtId="0" xfId="0" applyAlignment="1" applyBorder="1" applyFont="1">
      <alignment horizontal="right"/>
    </xf>
    <xf borderId="11" fillId="41" fontId="4" numFmtId="179" xfId="0" applyAlignment="1" applyBorder="1" applyFont="1" applyNumberFormat="1">
      <alignment horizontal="left" readingOrder="0"/>
    </xf>
    <xf borderId="0" fillId="34" fontId="5" numFmtId="165" xfId="0" applyFont="1" applyNumberFormat="1"/>
    <xf borderId="0" fillId="34" fontId="5" numFmtId="0" xfId="0" applyFont="1"/>
    <xf borderId="11" fillId="0" fontId="7" numFmtId="178" xfId="0" applyAlignment="1" applyBorder="1" applyFont="1" applyNumberFormat="1">
      <alignment horizontal="left" readingOrder="0" vertical="bottom"/>
    </xf>
    <xf borderId="11" fillId="0" fontId="7" numFmtId="178" xfId="0" applyAlignment="1" applyBorder="1" applyFont="1" applyNumberFormat="1">
      <alignment horizontal="center" readingOrder="0" vertical="bottom"/>
    </xf>
    <xf borderId="11" fillId="0" fontId="7" numFmtId="176" xfId="0" applyAlignment="1" applyBorder="1" applyFont="1" applyNumberFormat="1">
      <alignment horizontal="right" vertical="bottom"/>
    </xf>
    <xf borderId="11" fillId="40" fontId="7" numFmtId="179" xfId="0" applyAlignment="1" applyBorder="1" applyFont="1" applyNumberFormat="1">
      <alignment horizontal="left" vertical="bottom"/>
    </xf>
    <xf borderId="11" fillId="41" fontId="7" numFmtId="0" xfId="0" applyAlignment="1" applyBorder="1" applyFont="1">
      <alignment vertical="bottom"/>
    </xf>
    <xf borderId="11" fillId="43" fontId="7" numFmtId="0" xfId="0" applyAlignment="1" applyBorder="1" applyFont="1">
      <alignment horizontal="center" readingOrder="0" vertical="bottom"/>
    </xf>
    <xf borderId="11" fillId="43" fontId="7" numFmtId="0" xfId="0" applyAlignment="1" applyBorder="1" applyFont="1">
      <alignment vertical="bottom"/>
    </xf>
    <xf borderId="11" fillId="43" fontId="7" numFmtId="0" xfId="0" applyAlignment="1" applyBorder="1" applyFont="1">
      <alignment horizontal="center" vertical="bottom"/>
    </xf>
    <xf borderId="11" fillId="44" fontId="7" numFmtId="0" xfId="0" applyAlignment="1" applyBorder="1" applyFont="1">
      <alignment horizontal="center" vertical="bottom"/>
    </xf>
    <xf borderId="11" fillId="44" fontId="7" numFmtId="0" xfId="0" applyAlignment="1" applyBorder="1" applyFont="1">
      <alignment horizontal="center" readingOrder="0" vertical="bottom"/>
    </xf>
    <xf borderId="11" fillId="16" fontId="7" numFmtId="0" xfId="0" applyAlignment="1" applyBorder="1" applyFont="1">
      <alignment vertical="bottom"/>
    </xf>
    <xf borderId="11" fillId="16" fontId="7" numFmtId="0" xfId="0" applyAlignment="1" applyBorder="1" applyFont="1">
      <alignment readingOrder="0" vertical="bottom"/>
    </xf>
    <xf borderId="11" fillId="16" fontId="20" numFmtId="0" xfId="0" applyAlignment="1" applyBorder="1" applyFont="1">
      <alignment readingOrder="0" vertical="bottom"/>
    </xf>
    <xf borderId="11" fillId="45" fontId="7" numFmtId="0" xfId="0" applyAlignment="1" applyBorder="1" applyFont="1">
      <alignment horizontal="center" vertical="bottom"/>
    </xf>
    <xf borderId="11" fillId="43" fontId="7" numFmtId="0" xfId="0" applyAlignment="1" applyBorder="1" applyFont="1">
      <alignment readingOrder="0" vertical="bottom"/>
    </xf>
    <xf borderId="11" fillId="0" fontId="7" numFmtId="0" xfId="0" applyAlignment="1" applyBorder="1" applyFont="1">
      <alignment horizontal="center" vertical="bottom"/>
    </xf>
    <xf borderId="11" fillId="41" fontId="7" numFmtId="0" xfId="0" applyAlignment="1" applyBorder="1" applyFont="1">
      <alignment horizontal="center" readingOrder="0" vertical="bottom"/>
    </xf>
    <xf borderId="11" fillId="43" fontId="7" numFmtId="0" xfId="0" applyAlignment="1" applyBorder="1" applyFont="1">
      <alignment horizontal="left" readingOrder="0" vertical="bottom"/>
    </xf>
    <xf borderId="11" fillId="43" fontId="7" numFmtId="0" xfId="0" applyAlignment="1" applyBorder="1" applyFont="1">
      <alignment horizontal="left" vertical="bottom"/>
    </xf>
    <xf borderId="11" fillId="45" fontId="7" numFmtId="0" xfId="0" applyAlignment="1" applyBorder="1" applyFont="1">
      <alignment horizontal="left" vertical="bottom"/>
    </xf>
    <xf borderId="11" fillId="41" fontId="7" numFmtId="0" xfId="0" applyAlignment="1" applyBorder="1" applyFont="1">
      <alignment horizontal="left" readingOrder="0" vertical="bottom"/>
    </xf>
    <xf borderId="11" fillId="41" fontId="7" numFmtId="179" xfId="0" applyAlignment="1" applyBorder="1" applyFont="1" applyNumberFormat="1">
      <alignment horizontal="left" vertical="bottom"/>
    </xf>
    <xf borderId="11" fillId="41" fontId="7" numFmtId="0" xfId="0" applyAlignment="1" applyBorder="1" applyFont="1">
      <alignment horizontal="left" vertical="bottom"/>
    </xf>
    <xf borderId="0" fillId="0" fontId="7" numFmtId="0" xfId="0" applyAlignment="1" applyFont="1">
      <alignment horizontal="left" vertical="bottom"/>
    </xf>
    <xf borderId="0" fillId="0" fontId="7" numFmtId="0" xfId="0" applyAlignment="1" applyFont="1">
      <alignment vertical="bottom"/>
    </xf>
    <xf borderId="11" fillId="16" fontId="7" numFmtId="0" xfId="0" applyAlignment="1" applyBorder="1" applyFont="1">
      <alignment horizontal="center" readingOrder="0" vertical="bottom"/>
    </xf>
    <xf borderId="0" fillId="6" fontId="4" numFmtId="0" xfId="0" applyAlignment="1" applyFont="1">
      <alignment horizontal="center" readingOrder="0"/>
    </xf>
    <xf borderId="11" fillId="21" fontId="7" numFmtId="0" xfId="0" applyAlignment="1" applyBorder="1" applyFont="1">
      <alignment horizontal="center" vertical="bottom"/>
    </xf>
    <xf borderId="0" fillId="0" fontId="4" numFmtId="165" xfId="0" applyAlignment="1" applyFont="1" applyNumberFormat="1">
      <alignment horizontal="left"/>
    </xf>
    <xf borderId="0" fillId="6" fontId="4" numFmtId="165" xfId="0" applyAlignment="1" applyFont="1" applyNumberFormat="1">
      <alignment horizontal="right"/>
    </xf>
    <xf borderId="11" fillId="0" fontId="10" numFmtId="0" xfId="0" applyAlignment="1" applyBorder="1" applyFont="1">
      <alignment horizontal="left" readingOrder="0"/>
    </xf>
    <xf borderId="11" fillId="0" fontId="10" numFmtId="0" xfId="0" applyAlignment="1" applyBorder="1" applyFont="1">
      <alignment horizontal="center" readingOrder="0"/>
    </xf>
    <xf borderId="11" fillId="6" fontId="10" numFmtId="0" xfId="0" applyAlignment="1" applyBorder="1" applyFont="1">
      <alignment horizontal="left" readingOrder="0"/>
    </xf>
    <xf borderId="0" fillId="30" fontId="11" numFmtId="0" xfId="0" applyAlignment="1" applyFont="1">
      <alignment readingOrder="0" shrinkToFit="0" wrapText="1"/>
    </xf>
    <xf borderId="0" fillId="30" fontId="11" numFmtId="4" xfId="0" applyAlignment="1" applyFont="1" applyNumberFormat="1">
      <alignment readingOrder="0"/>
    </xf>
    <xf borderId="2" fillId="0" fontId="4" numFmtId="0" xfId="0" applyAlignment="1" applyBorder="1" applyFont="1">
      <alignment readingOrder="0"/>
    </xf>
    <xf borderId="21" fillId="0" fontId="4" numFmtId="0" xfId="0" applyBorder="1" applyFont="1"/>
    <xf borderId="22" fillId="0" fontId="4" numFmtId="4" xfId="0" applyAlignment="1" applyBorder="1" applyFont="1" applyNumberFormat="1">
      <alignment readingOrder="0"/>
    </xf>
    <xf borderId="2" fillId="14" fontId="4" numFmtId="0" xfId="0" applyAlignment="1" applyBorder="1" applyFont="1">
      <alignment readingOrder="0"/>
    </xf>
    <xf borderId="22" fillId="14" fontId="7" numFmtId="4" xfId="0" applyAlignment="1" applyBorder="1" applyFont="1" applyNumberFormat="1">
      <alignment horizontal="right" vertical="bottom"/>
    </xf>
    <xf borderId="2" fillId="15" fontId="16" numFmtId="0" xfId="0" applyAlignment="1" applyBorder="1" applyFont="1">
      <alignment horizontal="left" readingOrder="0"/>
    </xf>
    <xf borderId="21" fillId="0" fontId="10" numFmtId="0" xfId="0" applyBorder="1" applyFont="1"/>
    <xf borderId="21" fillId="0" fontId="10" numFmtId="4" xfId="0" applyAlignment="1" applyBorder="1" applyFont="1" applyNumberFormat="1">
      <alignment readingOrder="0"/>
    </xf>
    <xf borderId="22" fillId="0" fontId="4" numFmtId="0" xfId="0" applyBorder="1" applyFont="1"/>
    <xf borderId="0" fillId="48" fontId="1" numFmtId="0" xfId="0" applyAlignment="1" applyFill="1" applyFont="1">
      <alignment readingOrder="0"/>
    </xf>
    <xf borderId="0" fillId="16" fontId="2" numFmtId="0" xfId="0" applyAlignment="1" applyFont="1">
      <alignment readingOrder="0" shrinkToFit="0" vertical="bottom" wrapText="0"/>
    </xf>
    <xf borderId="0" fillId="16" fontId="10" numFmtId="0" xfId="0" applyAlignment="1" applyFont="1">
      <alignment readingOrder="0" shrinkToFit="0" wrapText="1"/>
    </xf>
    <xf borderId="0" fillId="16" fontId="10" numFmtId="4" xfId="0" applyAlignment="1" applyFont="1" applyNumberFormat="1">
      <alignment readingOrder="0"/>
    </xf>
    <xf borderId="23" fillId="0" fontId="4" numFmtId="0" xfId="0" applyBorder="1" applyFont="1"/>
    <xf borderId="24" fillId="0" fontId="4" numFmtId="4" xfId="0" applyAlignment="1" applyBorder="1" applyFont="1" applyNumberFormat="1">
      <alignment readingOrder="0"/>
    </xf>
    <xf borderId="23" fillId="14" fontId="4" numFmtId="0" xfId="0" applyAlignment="1" applyBorder="1" applyFont="1">
      <alignment readingOrder="0"/>
    </xf>
    <xf borderId="24" fillId="14" fontId="7" numFmtId="4" xfId="0" applyAlignment="1" applyBorder="1" applyFont="1" applyNumberFormat="1">
      <alignment horizontal="right" vertical="bottom"/>
    </xf>
    <xf borderId="24" fillId="0" fontId="4" numFmtId="0" xfId="0" applyBorder="1" applyFont="1"/>
    <xf borderId="0" fillId="46" fontId="5" numFmtId="0" xfId="0" applyAlignment="1" applyFont="1">
      <alignment readingOrder="0"/>
    </xf>
    <xf borderId="0" fillId="15" fontId="16" numFmtId="0" xfId="0" applyAlignment="1" applyFont="1">
      <alignment horizontal="left" readingOrder="0"/>
    </xf>
    <xf borderId="0" fillId="39" fontId="2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readingOrder="0"/>
    </xf>
    <xf borderId="23" fillId="0" fontId="4" numFmtId="0" xfId="0" applyAlignment="1" applyBorder="1" applyFont="1">
      <alignment readingOrder="0"/>
    </xf>
    <xf borderId="0" fillId="14" fontId="6" numFmtId="0" xfId="0" applyAlignment="1" applyFont="1">
      <alignment horizontal="right" readingOrder="0"/>
    </xf>
    <xf borderId="24" fillId="14" fontId="4" numFmtId="4" xfId="0" applyAlignment="1" applyBorder="1" applyFont="1" applyNumberFormat="1">
      <alignment readingOrder="0"/>
    </xf>
    <xf borderId="0" fillId="14" fontId="4" numFmtId="0" xfId="0" applyAlignment="1" applyFont="1">
      <alignment horizontal="right" readingOrder="0"/>
    </xf>
    <xf borderId="23" fillId="23" fontId="4" numFmtId="0" xfId="0" applyAlignment="1" applyBorder="1" applyFont="1">
      <alignment readingOrder="0"/>
    </xf>
    <xf borderId="0" fillId="23" fontId="6" numFmtId="167" xfId="0" applyAlignment="1" applyFont="1" applyNumberFormat="1">
      <alignment horizontal="right" readingOrder="0"/>
    </xf>
    <xf borderId="0" fillId="23" fontId="4" numFmtId="4" xfId="0" applyAlignment="1" applyFont="1" applyNumberFormat="1">
      <alignment readingOrder="0"/>
    </xf>
    <xf borderId="24" fillId="0" fontId="4" numFmtId="0" xfId="0" applyAlignment="1" applyBorder="1" applyFont="1">
      <alignment readingOrder="0"/>
    </xf>
    <xf borderId="0" fillId="0" fontId="0" numFmtId="0" xfId="0" applyAlignment="1" applyFont="1">
      <alignment shrinkToFit="0" vertical="bottom" wrapText="0"/>
    </xf>
    <xf borderId="0" fillId="0" fontId="5" numFmtId="4" xfId="0" applyAlignment="1" applyFont="1" applyNumberFormat="1">
      <alignment readingOrder="0"/>
    </xf>
    <xf borderId="24" fillId="14" fontId="5" numFmtId="4" xfId="0" applyAlignment="1" applyBorder="1" applyFont="1" applyNumberFormat="1">
      <alignment readingOrder="0"/>
    </xf>
    <xf borderId="22" fillId="0" fontId="4" numFmtId="0" xfId="0" applyAlignment="1" applyBorder="1" applyFont="1">
      <alignment readingOrder="0"/>
    </xf>
    <xf borderId="0" fillId="23" fontId="4" numFmtId="167" xfId="0" applyAlignment="1" applyFont="1" applyNumberFormat="1">
      <alignment horizontal="right" readingOrder="0"/>
    </xf>
    <xf borderId="0" fillId="23" fontId="5" numFmtId="4" xfId="0" applyAlignment="1" applyFont="1" applyNumberFormat="1">
      <alignment readingOrder="0"/>
    </xf>
    <xf borderId="24" fillId="0" fontId="4" numFmtId="3" xfId="0" applyAlignment="1" applyBorder="1" applyFont="1" applyNumberFormat="1">
      <alignment readingOrder="0"/>
    </xf>
    <xf borderId="24" fillId="14" fontId="4" numFmtId="0" xfId="0" applyAlignment="1" applyBorder="1" applyFont="1">
      <alignment readingOrder="0"/>
    </xf>
    <xf borderId="0" fillId="23" fontId="4" numFmtId="167" xfId="0" applyAlignment="1" applyFont="1" applyNumberFormat="1">
      <alignment readingOrder="0"/>
    </xf>
    <xf borderId="0" fillId="49" fontId="4" numFmtId="4" xfId="0" applyAlignment="1" applyFill="1" applyFont="1" applyNumberFormat="1">
      <alignment readingOrder="0"/>
    </xf>
    <xf borderId="23" fillId="14" fontId="4" numFmtId="4" xfId="0" applyAlignment="1" applyBorder="1" applyFont="1" applyNumberFormat="1">
      <alignment readingOrder="0"/>
    </xf>
    <xf borderId="24" fillId="0" fontId="4" numFmtId="0" xfId="0" applyAlignment="1" applyBorder="1" applyFont="1">
      <alignment readingOrder="0"/>
    </xf>
    <xf borderId="0" fillId="23" fontId="4" numFmtId="0" xfId="0" applyFont="1"/>
    <xf borderId="24" fillId="23" fontId="4" numFmtId="4" xfId="0" applyBorder="1" applyFont="1" applyNumberFormat="1"/>
    <xf borderId="10" fillId="31" fontId="4" numFmtId="0" xfId="0" applyAlignment="1" applyBorder="1" applyFont="1">
      <alignment readingOrder="0"/>
    </xf>
    <xf borderId="9" fillId="31" fontId="4" numFmtId="4" xfId="0" applyBorder="1" applyFont="1" applyNumberFormat="1"/>
    <xf borderId="8" fillId="0" fontId="4" numFmtId="0" xfId="0" applyBorder="1" applyFont="1"/>
    <xf borderId="10" fillId="0" fontId="4" numFmtId="0" xfId="0" applyBorder="1" applyFont="1"/>
    <xf borderId="8" fillId="0" fontId="10" numFmtId="0" xfId="0" applyBorder="1" applyFont="1"/>
    <xf borderId="23" fillId="14" fontId="4" numFmtId="0" xfId="0" applyAlignment="1" applyBorder="1" applyFont="1">
      <alignment readingOrder="0"/>
    </xf>
    <xf borderId="21" fillId="0" fontId="4" numFmtId="3" xfId="0" applyAlignment="1" applyBorder="1" applyFont="1" applyNumberFormat="1">
      <alignment readingOrder="0"/>
    </xf>
    <xf borderId="22" fillId="0" fontId="4" numFmtId="3" xfId="0" applyAlignment="1" applyBorder="1" applyFont="1" applyNumberFormat="1">
      <alignment readingOrder="0"/>
    </xf>
    <xf borderId="23" fillId="0" fontId="10" numFmtId="0" xfId="0" applyAlignment="1" applyBorder="1" applyFont="1">
      <alignment readingOrder="0"/>
    </xf>
    <xf borderId="24" fillId="0" fontId="10" numFmtId="0" xfId="0" applyBorder="1" applyFont="1"/>
    <xf borderId="24" fillId="14" fontId="7" numFmtId="4" xfId="0" applyAlignment="1" applyBorder="1" applyFont="1" applyNumberFormat="1">
      <alignment horizontal="right" readingOrder="0" vertical="bottom"/>
    </xf>
    <xf borderId="23" fillId="48" fontId="4" numFmtId="0" xfId="0" applyAlignment="1" applyBorder="1" applyFont="1">
      <alignment readingOrder="0"/>
    </xf>
    <xf borderId="0" fillId="48" fontId="4" numFmtId="167" xfId="0" applyAlignment="1" applyFont="1" applyNumberFormat="1">
      <alignment readingOrder="0"/>
    </xf>
    <xf borderId="0" fillId="48" fontId="4" numFmtId="4" xfId="0" applyAlignment="1" applyFont="1" applyNumberFormat="1">
      <alignment readingOrder="0"/>
    </xf>
    <xf borderId="24" fillId="0" fontId="4" numFmtId="0" xfId="0" applyAlignment="1" applyBorder="1" applyFont="1">
      <alignment readingOrder="0" shrinkToFit="0" wrapText="0"/>
    </xf>
    <xf borderId="10" fillId="0" fontId="4" numFmtId="0" xfId="0" applyAlignment="1" applyBorder="1" applyFont="1">
      <alignment readingOrder="0"/>
    </xf>
    <xf borderId="8" fillId="0" fontId="4" numFmtId="0" xfId="0" applyAlignment="1" applyBorder="1" applyFont="1">
      <alignment readingOrder="0"/>
    </xf>
    <xf borderId="0" fillId="0" fontId="7" numFmtId="0" xfId="0" applyAlignment="1" applyFont="1">
      <alignment horizontal="right" vertical="bottom"/>
    </xf>
    <xf borderId="24" fillId="0" fontId="4" numFmtId="4" xfId="0" applyBorder="1" applyFont="1" applyNumberFormat="1"/>
    <xf borderId="24" fillId="14" fontId="6" numFmtId="4" xfId="0" applyAlignment="1" applyBorder="1" applyFont="1" applyNumberFormat="1">
      <alignment horizontal="right" readingOrder="0" vertical="bottom"/>
    </xf>
    <xf borderId="0" fillId="15" fontId="6" numFmtId="0" xfId="0" applyAlignment="1" applyFont="1">
      <alignment horizontal="right" vertical="bottom"/>
    </xf>
    <xf borderId="2" fillId="6" fontId="4" numFmtId="0" xfId="0" applyAlignment="1" applyBorder="1" applyFont="1">
      <alignment readingOrder="0"/>
    </xf>
    <xf borderId="22" fillId="0" fontId="4" numFmtId="173" xfId="0" applyAlignment="1" applyBorder="1" applyFont="1" applyNumberFormat="1">
      <alignment readingOrder="0"/>
    </xf>
    <xf borderId="0" fillId="14" fontId="4" numFmtId="167" xfId="0" applyAlignment="1" applyFont="1" applyNumberFormat="1">
      <alignment readingOrder="0"/>
    </xf>
    <xf borderId="0" fillId="14" fontId="4" numFmtId="4" xfId="0" applyAlignment="1" applyFont="1" applyNumberFormat="1">
      <alignment readingOrder="0"/>
    </xf>
    <xf borderId="0" fillId="0" fontId="7" numFmtId="0" xfId="0" applyAlignment="1" applyFont="1">
      <alignment horizontal="right" readingOrder="0" vertical="bottom"/>
    </xf>
    <xf borderId="23" fillId="16" fontId="4" numFmtId="0" xfId="0" applyAlignment="1" applyBorder="1" applyFont="1">
      <alignment readingOrder="0"/>
    </xf>
    <xf borderId="23" fillId="50" fontId="10" numFmtId="0" xfId="0" applyAlignment="1" applyBorder="1" applyFill="1" applyFont="1">
      <alignment readingOrder="0"/>
    </xf>
    <xf borderId="0" fillId="50" fontId="10" numFmtId="0" xfId="0" applyFont="1"/>
    <xf borderId="0" fillId="50" fontId="10" numFmtId="4" xfId="0" applyAlignment="1" applyFont="1" applyNumberFormat="1">
      <alignment readingOrder="0"/>
    </xf>
    <xf borderId="23" fillId="14" fontId="4" numFmtId="0" xfId="0" applyAlignment="1" applyBorder="1" applyFont="1">
      <alignment horizontal="left" readingOrder="0"/>
    </xf>
    <xf borderId="24" fillId="14" fontId="5" numFmtId="4" xfId="0" applyAlignment="1" applyBorder="1" applyFont="1" applyNumberFormat="1">
      <alignment horizontal="right" readingOrder="0"/>
    </xf>
    <xf borderId="10" fillId="0" fontId="10" numFmtId="0" xfId="0" applyAlignment="1" applyBorder="1" applyFont="1">
      <alignment readingOrder="0"/>
    </xf>
    <xf borderId="9" fillId="0" fontId="10" numFmtId="0" xfId="0" applyBorder="1" applyFont="1"/>
    <xf borderId="9" fillId="0" fontId="10" numFmtId="4" xfId="0" applyBorder="1" applyFont="1" applyNumberFormat="1"/>
    <xf borderId="23" fillId="14" fontId="7" numFmtId="0" xfId="0" applyAlignment="1" applyBorder="1" applyFont="1">
      <alignment horizontal="left" readingOrder="0" vertical="bottom"/>
    </xf>
    <xf borderId="23" fillId="24" fontId="4" numFmtId="0" xfId="0" applyAlignment="1" applyBorder="1" applyFont="1">
      <alignment readingOrder="0"/>
    </xf>
    <xf borderId="24" fillId="24" fontId="4" numFmtId="4" xfId="0" applyAlignment="1" applyBorder="1" applyFont="1" applyNumberFormat="1">
      <alignment readingOrder="0"/>
    </xf>
    <xf borderId="8" fillId="5" fontId="11" numFmtId="0" xfId="0" applyBorder="1" applyFont="1"/>
    <xf borderId="8" fillId="14" fontId="10" numFmtId="4" xfId="0" applyBorder="1" applyFont="1" applyNumberFormat="1"/>
    <xf borderId="24" fillId="0" fontId="10" numFmtId="0" xfId="0" applyAlignment="1" applyBorder="1" applyFont="1">
      <alignment readingOrder="0"/>
    </xf>
    <xf borderId="22" fillId="0" fontId="7" numFmtId="0" xfId="0" applyAlignment="1" applyBorder="1" applyFont="1">
      <alignment horizontal="right" vertical="bottom"/>
    </xf>
    <xf borderId="2" fillId="0" fontId="4" numFmtId="0" xfId="0" applyBorder="1" applyFont="1"/>
    <xf borderId="21" fillId="0" fontId="7" numFmtId="0" xfId="0" applyAlignment="1" applyBorder="1" applyFont="1">
      <alignment horizontal="left" readingOrder="0" vertical="bottom"/>
    </xf>
    <xf borderId="21" fillId="0" fontId="4" numFmtId="0" xfId="0" applyAlignment="1" applyBorder="1" applyFont="1">
      <alignment readingOrder="0"/>
    </xf>
    <xf borderId="24" fillId="0" fontId="7" numFmtId="0" xfId="0" applyAlignment="1" applyBorder="1" applyFont="1">
      <alignment horizontal="right" readingOrder="0" vertical="bottom"/>
    </xf>
    <xf borderId="0" fillId="0" fontId="4" numFmtId="180" xfId="0" applyAlignment="1" applyFont="1" applyNumberFormat="1">
      <alignment readingOrder="0"/>
    </xf>
    <xf borderId="22" fillId="0" fontId="7" numFmtId="0" xfId="0" applyAlignment="1" applyBorder="1" applyFont="1">
      <alignment horizontal="right" readingOrder="0" vertical="bottom"/>
    </xf>
    <xf borderId="8" fillId="0" fontId="10" numFmtId="0" xfId="0" applyAlignment="1" applyBorder="1" applyFont="1">
      <alignment readingOrder="0"/>
    </xf>
    <xf borderId="11" fillId="0" fontId="4" numFmtId="3" xfId="0" applyAlignment="1" applyBorder="1" applyFont="1" applyNumberFormat="1">
      <alignment readingOrder="0"/>
    </xf>
    <xf borderId="13" fillId="0" fontId="10" numFmtId="0" xfId="0" applyAlignment="1" applyBorder="1" applyFont="1">
      <alignment readingOrder="0"/>
    </xf>
    <xf borderId="14" fillId="0" fontId="4" numFmtId="3" xfId="0" applyAlignment="1" applyBorder="1" applyFont="1" applyNumberFormat="1">
      <alignment readingOrder="0"/>
    </xf>
    <xf borderId="24" fillId="0" fontId="4" numFmtId="0" xfId="0" applyAlignment="1" applyBorder="1" applyFont="1">
      <alignment horizontal="right" readingOrder="0"/>
    </xf>
    <xf borderId="15" fillId="0" fontId="10" numFmtId="0" xfId="0" applyBorder="1" applyFont="1"/>
    <xf borderId="9" fillId="0" fontId="7" numFmtId="0" xfId="0" applyAlignment="1" applyBorder="1" applyFont="1">
      <alignment horizontal="right" vertical="bottom"/>
    </xf>
    <xf borderId="9" fillId="0" fontId="4" numFmtId="0" xfId="0" applyBorder="1" applyFont="1"/>
    <xf borderId="17" fillId="0" fontId="10" numFmtId="0" xfId="0" applyAlignment="1" applyBorder="1" applyFont="1">
      <alignment readingOrder="0"/>
    </xf>
    <xf borderId="18" fillId="0" fontId="4" numFmtId="3" xfId="0" applyAlignment="1" applyBorder="1" applyFont="1" applyNumberFormat="1">
      <alignment readingOrder="0"/>
    </xf>
    <xf borderId="23" fillId="16" fontId="7" numFmtId="0" xfId="0" applyAlignment="1" applyBorder="1" applyFont="1">
      <alignment vertical="bottom"/>
    </xf>
    <xf borderId="24" fillId="16" fontId="7" numFmtId="0" xfId="0" applyAlignment="1" applyBorder="1" applyFont="1">
      <alignment horizontal="right" vertical="bottom"/>
    </xf>
    <xf borderId="24" fillId="16" fontId="7" numFmtId="0" xfId="0" applyAlignment="1" applyBorder="1" applyFont="1">
      <alignment horizontal="right" vertical="bottom"/>
    </xf>
    <xf borderId="8" fillId="31" fontId="10" numFmtId="4" xfId="0" applyBorder="1" applyFont="1" applyNumberFormat="1"/>
    <xf borderId="23" fillId="27" fontId="4" numFmtId="0" xfId="0" applyAlignment="1" applyBorder="1" applyFont="1">
      <alignment readingOrder="0"/>
    </xf>
    <xf borderId="24" fillId="27" fontId="4" numFmtId="0" xfId="0" applyAlignment="1" applyBorder="1" applyFont="1">
      <alignment readingOrder="0"/>
    </xf>
    <xf borderId="0" fillId="0" fontId="10" numFmtId="0" xfId="0" applyFont="1"/>
    <xf quotePrefix="1" borderId="0" fillId="0" fontId="10" numFmtId="0" xfId="0" applyAlignment="1" applyFont="1">
      <alignment readingOrder="0"/>
    </xf>
    <xf borderId="0" fillId="0" fontId="10" numFmtId="4" xfId="0" applyFont="1" applyNumberFormat="1"/>
    <xf borderId="0" fillId="0" fontId="26" numFmtId="0" xfId="0" applyAlignment="1" applyFont="1">
      <alignment horizontal="center" readingOrder="0" shrinkToFit="0" wrapText="1"/>
    </xf>
    <xf borderId="0" fillId="0" fontId="26" numFmtId="3" xfId="0" applyAlignment="1" applyFont="1" applyNumberFormat="1">
      <alignment horizontal="center" readingOrder="0" shrinkToFit="0" wrapText="1"/>
    </xf>
    <xf borderId="0" fillId="0" fontId="10" numFmtId="167" xfId="0" applyAlignment="1" applyFont="1" applyNumberFormat="1">
      <alignment readingOrder="0"/>
    </xf>
    <xf borderId="0" fillId="0" fontId="26" numFmtId="181" xfId="0" applyAlignment="1" applyFont="1" applyNumberFormat="1">
      <alignment horizontal="center" readingOrder="0" shrinkToFit="0" wrapText="1"/>
    </xf>
    <xf borderId="0" fillId="0" fontId="27" numFmtId="3" xfId="0" applyAlignment="1" applyFont="1" applyNumberFormat="1">
      <alignment horizontal="center" readingOrder="0" shrinkToFit="0" wrapText="1"/>
    </xf>
    <xf borderId="0" fillId="0" fontId="27" numFmtId="182" xfId="0" applyAlignment="1" applyFont="1" applyNumberFormat="1">
      <alignment horizontal="center" readingOrder="0" shrinkToFit="0" wrapText="1"/>
    </xf>
    <xf borderId="0" fillId="0" fontId="27" numFmtId="0" xfId="0" applyAlignment="1" applyFont="1">
      <alignment horizontal="center" readingOrder="0" shrinkToFit="0" wrapText="1"/>
    </xf>
    <xf borderId="0" fillId="0" fontId="10" numFmtId="3" xfId="0" applyFont="1" applyNumberFormat="1"/>
    <xf borderId="0" fillId="0" fontId="4" numFmtId="0" xfId="0" applyAlignment="1" applyFont="1">
      <alignment readingOrder="0" shrinkToFit="0" wrapText="0"/>
    </xf>
    <xf borderId="0" fillId="0" fontId="4" numFmtId="3" xfId="0" applyAlignment="1" applyFont="1" applyNumberForma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4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House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'Expense Chart'!$A$5:$A$32</c:f>
            </c:strRef>
          </c:cat>
          <c:val>
            <c:numRef>
              <c:f>'Expense Chart'!$B$5:$B$31</c:f>
              <c:numCache/>
            </c:numRef>
          </c:val>
        </c:ser>
        <c:axId val="869693595"/>
        <c:axId val="795703141"/>
      </c:barChart>
      <c:catAx>
        <c:axId val="8696935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95703141"/>
      </c:catAx>
      <c:valAx>
        <c:axId val="7957031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House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696935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Electricity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'Expense Chart'!$A$5:$A$31</c:f>
            </c:strRef>
          </c:cat>
          <c:val>
            <c:numRef>
              <c:f>'Expense Chart'!$D$5:$D$31</c:f>
              <c:numCache/>
            </c:numRef>
          </c:val>
        </c:ser>
        <c:axId val="1346383775"/>
        <c:axId val="281058083"/>
      </c:barChart>
      <c:catAx>
        <c:axId val="1346383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81058083"/>
      </c:catAx>
      <c:valAx>
        <c:axId val="2810580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Electricity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463837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Vehicle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'Expense Chart'!$A$5:$A$31</c:f>
            </c:strRef>
          </c:cat>
          <c:val>
            <c:numRef>
              <c:f>'Expense Chart'!$F$5:$F$31</c:f>
              <c:numCache/>
            </c:numRef>
          </c:val>
        </c:ser>
        <c:axId val="1020008073"/>
        <c:axId val="472271990"/>
      </c:barChart>
      <c:catAx>
        <c:axId val="10200080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72271990"/>
      </c:catAx>
      <c:valAx>
        <c:axId val="4722719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Vehicle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200080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Gas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'Expense Chart'!$A$5:$A$31</c:f>
            </c:strRef>
          </c:cat>
          <c:val>
            <c:numRef>
              <c:f>'Expense Chart'!$H$5:$H$31</c:f>
              <c:numCache/>
            </c:numRef>
          </c:val>
        </c:ser>
        <c:axId val="899875885"/>
        <c:axId val="1814747655"/>
      </c:barChart>
      <c:catAx>
        <c:axId val="8998758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14747655"/>
      </c:catAx>
      <c:valAx>
        <c:axId val="18147476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Gas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998758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Food + Groceries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'Expense Chart'!$A$5:$A$31</c:f>
            </c:strRef>
          </c:cat>
          <c:val>
            <c:numRef>
              <c:f>'Expense Chart'!$I$5:$I$31</c:f>
              <c:numCache/>
            </c:numRef>
          </c:val>
        </c:ser>
        <c:axId val="636555670"/>
        <c:axId val="1876214929"/>
      </c:barChart>
      <c:catAx>
        <c:axId val="6365556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76214929"/>
      </c:catAx>
      <c:valAx>
        <c:axId val="18762149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Food + Groceries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365556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Briggy + Sophie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'Expense Chart'!$A$5:$A$31</c:f>
            </c:strRef>
          </c:cat>
          <c:val>
            <c:numRef>
              <c:f>'Expense Chart'!$J$5:$J$31</c:f>
              <c:numCache/>
            </c:numRef>
          </c:val>
        </c:ser>
        <c:axId val="244703050"/>
        <c:axId val="475370891"/>
      </c:barChart>
      <c:catAx>
        <c:axId val="2447030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75370891"/>
      </c:catAx>
      <c:valAx>
        <c:axId val="4753708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Briggy + Sophie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447030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Medicine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'Expense Chart'!$A$5:$A$31</c:f>
            </c:strRef>
          </c:cat>
          <c:val>
            <c:numRef>
              <c:f>'Expense Chart'!$K$5:$K$31</c:f>
              <c:numCache/>
            </c:numRef>
          </c:val>
        </c:ser>
        <c:axId val="1199932029"/>
        <c:axId val="2003032503"/>
      </c:barChart>
      <c:catAx>
        <c:axId val="11999320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03032503"/>
      </c:catAx>
      <c:valAx>
        <c:axId val="20030325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Medicine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999320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Others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'Expense Chart'!$A$5:$A$31</c:f>
            </c:strRef>
          </c:cat>
          <c:val>
            <c:numRef>
              <c:f>'Expense Chart'!$N$5:$N$31</c:f>
              <c:numCache/>
            </c:numRef>
          </c:val>
        </c:ser>
        <c:axId val="1723333685"/>
        <c:axId val="1768154520"/>
      </c:barChart>
      <c:catAx>
        <c:axId val="17233336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68154520"/>
      </c:catAx>
      <c:valAx>
        <c:axId val="17681545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Others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233336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TOTAL MONTHLY INCOME vs. TOTAL MONTHLY EXPENSE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'Expense Chart'!$O$4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'Expense Chart'!$A$5:$A$31</c:f>
            </c:strRef>
          </c:cat>
          <c:val>
            <c:numRef>
              <c:f>'Expense Chart'!$O$5:$O$31</c:f>
              <c:numCache/>
            </c:numRef>
          </c:val>
        </c:ser>
        <c:ser>
          <c:idx val="1"/>
          <c:order val="1"/>
          <c:tx>
            <c:strRef>
              <c:f>'Expense Chart'!$P$4</c:f>
            </c:strRef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cat>
            <c:strRef>
              <c:f>'Expense Chart'!$A$5:$A$31</c:f>
            </c:strRef>
          </c:cat>
          <c:val>
            <c:numRef>
              <c:f>'Expense Chart'!$P$5:$P$31</c:f>
              <c:numCache/>
            </c:numRef>
          </c:val>
        </c:ser>
        <c:axId val="1695951082"/>
        <c:axId val="1535455572"/>
      </c:barChart>
      <c:catAx>
        <c:axId val="16959510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 MONTHLY EXPENSE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35455572"/>
      </c:catAx>
      <c:valAx>
        <c:axId val="15354555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 MONTHLY INCOME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959510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36</xdr:row>
      <xdr:rowOff>123825</xdr:rowOff>
    </xdr:from>
    <xdr:ext cx="3114675" cy="21431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285750</xdr:colOff>
      <xdr:row>36</xdr:row>
      <xdr:rowOff>123825</xdr:rowOff>
    </xdr:from>
    <xdr:ext cx="3114675" cy="21431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504825</xdr:colOff>
      <xdr:row>36</xdr:row>
      <xdr:rowOff>123825</xdr:rowOff>
    </xdr:from>
    <xdr:ext cx="3114675" cy="21431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828675</xdr:colOff>
      <xdr:row>36</xdr:row>
      <xdr:rowOff>123825</xdr:rowOff>
    </xdr:from>
    <xdr:ext cx="3114675" cy="21431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48</xdr:row>
      <xdr:rowOff>19050</xdr:rowOff>
    </xdr:from>
    <xdr:ext cx="3114675" cy="21431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285750</xdr:colOff>
      <xdr:row>48</xdr:row>
      <xdr:rowOff>19050</xdr:rowOff>
    </xdr:from>
    <xdr:ext cx="3114675" cy="21431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8</xdr:col>
      <xdr:colOff>504825</xdr:colOff>
      <xdr:row>48</xdr:row>
      <xdr:rowOff>19050</xdr:rowOff>
    </xdr:from>
    <xdr:ext cx="3114675" cy="21431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11</xdr:col>
      <xdr:colOff>828675</xdr:colOff>
      <xdr:row>48</xdr:row>
      <xdr:rowOff>19050</xdr:rowOff>
    </xdr:from>
    <xdr:ext cx="3114675" cy="21431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16</xdr:col>
      <xdr:colOff>123825</xdr:colOff>
      <xdr:row>3</xdr:row>
      <xdr:rowOff>104775</xdr:rowOff>
    </xdr:from>
    <xdr:ext cx="4352925" cy="26860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2" width="5.0"/>
    <col customWidth="1" min="3" max="3" width="6.13"/>
    <col customWidth="1" min="4" max="4" width="7.13"/>
    <col customWidth="1" min="5" max="5" width="9.0"/>
    <col customWidth="1" min="6" max="6" width="6.5"/>
    <col customWidth="1" min="7" max="7" width="8.38"/>
    <col customWidth="1" min="8" max="8" width="6.88"/>
    <col customWidth="1" min="9" max="9" width="5.13"/>
    <col customWidth="1" min="10" max="10" width="8.75"/>
    <col customWidth="1" min="11" max="11" width="6.5"/>
    <col customWidth="1" min="12" max="12" width="8.13"/>
    <col customWidth="1" min="13" max="13" width="9.0"/>
    <col customWidth="1" min="14" max="14" width="8.38"/>
    <col customWidth="1" min="15" max="15" width="6.63"/>
    <col customWidth="1" min="16" max="16" width="5.13"/>
    <col customWidth="1" min="17" max="17" width="9.13"/>
  </cols>
  <sheetData>
    <row r="1">
      <c r="A1" s="1"/>
      <c r="B1" s="1"/>
      <c r="C1" s="2" t="s">
        <v>0</v>
      </c>
    </row>
    <row r="2">
      <c r="A2" s="3" t="s">
        <v>1</v>
      </c>
      <c r="B2" s="3"/>
      <c r="C2" s="4" t="s">
        <v>2</v>
      </c>
      <c r="D2" s="5" t="s">
        <v>3</v>
      </c>
      <c r="E2" s="6" t="s">
        <v>4</v>
      </c>
      <c r="F2" s="7" t="s">
        <v>5</v>
      </c>
      <c r="G2" s="8" t="s">
        <v>6</v>
      </c>
      <c r="H2" s="9" t="s">
        <v>7</v>
      </c>
      <c r="I2" s="10" t="s">
        <v>8</v>
      </c>
      <c r="J2" s="9" t="s">
        <v>9</v>
      </c>
      <c r="K2" s="11" t="s">
        <v>10</v>
      </c>
      <c r="L2" s="12" t="s">
        <v>11</v>
      </c>
      <c r="M2" s="12" t="s">
        <v>12</v>
      </c>
      <c r="N2" s="13" t="s">
        <v>13</v>
      </c>
      <c r="O2" s="5" t="s">
        <v>14</v>
      </c>
      <c r="P2" s="14" t="s">
        <v>15</v>
      </c>
      <c r="Q2" s="15" t="s">
        <v>16</v>
      </c>
    </row>
    <row r="3">
      <c r="A3" s="16"/>
      <c r="B3" s="16"/>
      <c r="C3" s="17">
        <v>25000.0</v>
      </c>
      <c r="D3" s="17">
        <v>2500.0</v>
      </c>
      <c r="E3" s="17">
        <v>5000.0</v>
      </c>
      <c r="F3" s="17">
        <v>800.0</v>
      </c>
      <c r="G3" s="17">
        <v>16000.0</v>
      </c>
      <c r="H3" s="17">
        <v>5000.0</v>
      </c>
      <c r="I3" s="17">
        <v>7000.0</v>
      </c>
      <c r="J3" s="17">
        <v>10000.0</v>
      </c>
      <c r="K3" s="17">
        <v>7000.0</v>
      </c>
      <c r="L3" s="17">
        <v>4000.0</v>
      </c>
      <c r="M3" s="17">
        <v>5000.0</v>
      </c>
      <c r="N3" s="17">
        <v>8000.0</v>
      </c>
      <c r="O3" s="17">
        <v>6000.0</v>
      </c>
      <c r="P3" s="17">
        <v>4000.0</v>
      </c>
      <c r="Q3" s="18">
        <f>SUM(C3:P3)</f>
        <v>105300</v>
      </c>
    </row>
    <row r="4">
      <c r="A4" s="19">
        <v>1.0</v>
      </c>
      <c r="B4" s="20" t="s">
        <v>17</v>
      </c>
      <c r="C4" s="21"/>
      <c r="D4" s="22"/>
      <c r="E4" s="22">
        <v>3800.0</v>
      </c>
      <c r="F4" s="22"/>
      <c r="G4" s="22"/>
      <c r="H4" s="22"/>
      <c r="I4" s="23"/>
      <c r="J4" s="22"/>
      <c r="K4" s="22"/>
      <c r="L4" s="22"/>
      <c r="M4" s="22"/>
      <c r="N4" s="24"/>
      <c r="O4" s="21">
        <v>19800.0</v>
      </c>
      <c r="Q4" s="21"/>
    </row>
    <row r="5">
      <c r="A5" s="25">
        <v>2.0</v>
      </c>
      <c r="B5" s="20" t="s">
        <v>18</v>
      </c>
      <c r="C5" s="21"/>
      <c r="D5" s="22"/>
      <c r="E5" s="22"/>
      <c r="F5" s="22"/>
      <c r="G5" s="22"/>
      <c r="H5" s="21"/>
      <c r="I5" s="21"/>
      <c r="J5" s="22"/>
      <c r="K5" s="22"/>
      <c r="L5" s="22"/>
      <c r="M5" s="22"/>
      <c r="N5" s="26"/>
      <c r="O5" s="21">
        <v>10200.0</v>
      </c>
      <c r="Q5" s="22"/>
    </row>
    <row r="6">
      <c r="A6" s="25">
        <v>3.0</v>
      </c>
      <c r="B6" s="20" t="s">
        <v>19</v>
      </c>
      <c r="C6" s="21"/>
      <c r="D6" s="22"/>
      <c r="E6" s="22"/>
      <c r="F6" s="22"/>
      <c r="G6" s="22"/>
      <c r="H6" s="22"/>
      <c r="I6" s="27"/>
      <c r="J6" s="27"/>
      <c r="K6" s="22"/>
      <c r="L6" s="22"/>
      <c r="N6" s="28"/>
      <c r="O6" s="21"/>
      <c r="P6" s="21"/>
      <c r="Q6" s="22"/>
    </row>
    <row r="7" ht="17.25" customHeight="1">
      <c r="A7" s="25">
        <v>4.0</v>
      </c>
      <c r="B7" s="20" t="s">
        <v>20</v>
      </c>
      <c r="C7" s="21"/>
      <c r="D7" s="21"/>
      <c r="E7" s="21"/>
      <c r="F7" s="21"/>
      <c r="G7" s="22"/>
      <c r="H7" s="21"/>
      <c r="I7" s="22"/>
      <c r="J7" s="22"/>
      <c r="K7" s="22"/>
      <c r="L7" s="22"/>
      <c r="M7" s="21"/>
      <c r="N7" s="22"/>
      <c r="O7" s="21"/>
      <c r="P7" s="21"/>
      <c r="Q7" s="22"/>
    </row>
    <row r="8">
      <c r="A8" s="25">
        <v>5.0</v>
      </c>
      <c r="B8" s="29" t="s">
        <v>21</v>
      </c>
      <c r="C8" s="21"/>
      <c r="D8" s="21"/>
      <c r="E8" s="21"/>
      <c r="F8" s="21"/>
      <c r="G8" s="22"/>
      <c r="I8" s="22"/>
      <c r="J8" s="22">
        <v>350.0</v>
      </c>
      <c r="K8" s="22">
        <v>1530.0</v>
      </c>
      <c r="L8" s="21"/>
      <c r="M8" s="21"/>
      <c r="N8" s="22"/>
      <c r="O8" s="21">
        <v>800.0</v>
      </c>
      <c r="P8" s="21"/>
      <c r="Q8" s="22"/>
    </row>
    <row r="9">
      <c r="A9" s="25">
        <v>6.0</v>
      </c>
      <c r="B9" s="20" t="s">
        <v>22</v>
      </c>
      <c r="C9" s="21">
        <v>2000.0</v>
      </c>
      <c r="D9" s="21"/>
      <c r="E9" s="21"/>
      <c r="F9" s="21"/>
      <c r="G9" s="22"/>
      <c r="H9" s="21"/>
      <c r="I9" s="27"/>
      <c r="J9" s="22">
        <v>1000.0</v>
      </c>
      <c r="K9" s="22">
        <v>1900.0</v>
      </c>
      <c r="L9" s="22"/>
      <c r="M9" s="21"/>
      <c r="N9" s="22"/>
      <c r="O9" s="21">
        <f>1800+600</f>
        <v>2400</v>
      </c>
      <c r="P9" s="21"/>
      <c r="Q9" s="22"/>
    </row>
    <row r="10">
      <c r="A10" s="25">
        <v>7.0</v>
      </c>
      <c r="B10" s="20" t="s">
        <v>23</v>
      </c>
      <c r="C10" s="21"/>
      <c r="D10" s="21"/>
      <c r="E10" s="21"/>
      <c r="F10" s="21"/>
      <c r="G10" s="22"/>
      <c r="H10" s="21">
        <v>600.0</v>
      </c>
      <c r="I10" s="27"/>
      <c r="J10" s="22">
        <f>155+245</f>
        <v>400</v>
      </c>
      <c r="K10" s="22">
        <v>1300.0</v>
      </c>
      <c r="L10" s="22"/>
      <c r="M10" s="21"/>
      <c r="N10" s="21"/>
      <c r="O10" s="21">
        <v>1000.0</v>
      </c>
      <c r="Q10" s="22"/>
    </row>
    <row r="11">
      <c r="A11" s="25">
        <v>8.0</v>
      </c>
      <c r="B11" s="20" t="s">
        <v>17</v>
      </c>
      <c r="C11" s="21"/>
      <c r="D11" s="21"/>
      <c r="E11" s="21"/>
      <c r="F11" s="21"/>
      <c r="G11" s="21"/>
      <c r="I11" s="27"/>
      <c r="J11" s="22"/>
      <c r="K11" s="27"/>
      <c r="L11" s="27"/>
      <c r="N11" s="22"/>
      <c r="O11" s="21"/>
      <c r="P11" s="21"/>
      <c r="Q11" s="22"/>
    </row>
    <row r="12">
      <c r="A12" s="25">
        <v>9.0</v>
      </c>
      <c r="B12" s="20" t="s">
        <v>18</v>
      </c>
      <c r="C12" s="21"/>
      <c r="D12" s="21"/>
      <c r="E12" s="21"/>
      <c r="F12" s="21"/>
      <c r="G12" s="21"/>
      <c r="H12" s="21">
        <v>680.0</v>
      </c>
      <c r="I12" s="27"/>
      <c r="J12" s="22"/>
      <c r="K12" s="27">
        <v>700.0</v>
      </c>
      <c r="L12" s="27"/>
      <c r="M12" s="21"/>
      <c r="N12" s="22"/>
      <c r="O12" s="21">
        <v>510.0</v>
      </c>
      <c r="P12" s="21"/>
      <c r="Q12" s="22"/>
    </row>
    <row r="13">
      <c r="A13" s="25">
        <v>10.0</v>
      </c>
      <c r="B13" s="20" t="s">
        <v>19</v>
      </c>
      <c r="C13" s="21"/>
      <c r="D13" s="21"/>
      <c r="E13" s="21"/>
      <c r="F13" s="21"/>
      <c r="G13" s="30"/>
      <c r="H13" s="27">
        <f>50+70+70+100+400+40+150+150+150</f>
        <v>1180</v>
      </c>
      <c r="I13" s="22"/>
      <c r="J13" s="22"/>
      <c r="K13" s="22"/>
      <c r="L13" s="21"/>
      <c r="M13" s="21"/>
      <c r="N13" s="21"/>
      <c r="P13" s="21"/>
      <c r="Q13" s="21"/>
    </row>
    <row r="14">
      <c r="A14" s="25">
        <v>11.0</v>
      </c>
      <c r="B14" s="20" t="s">
        <v>20</v>
      </c>
      <c r="C14" s="21"/>
      <c r="D14" s="21"/>
      <c r="E14" s="21"/>
      <c r="F14" s="21"/>
      <c r="G14" s="21"/>
      <c r="H14" s="22">
        <v>412.0</v>
      </c>
      <c r="I14" s="22"/>
      <c r="J14" s="22"/>
      <c r="K14" s="22"/>
      <c r="L14" s="21">
        <v>3732.75</v>
      </c>
      <c r="M14" s="21"/>
      <c r="N14" s="21"/>
      <c r="O14" s="21">
        <v>694.0</v>
      </c>
      <c r="P14" s="21"/>
      <c r="Q14" s="21"/>
    </row>
    <row r="15">
      <c r="A15" s="25">
        <v>12.0</v>
      </c>
      <c r="B15" s="29" t="s">
        <v>21</v>
      </c>
      <c r="C15" s="21"/>
      <c r="D15" s="21"/>
      <c r="E15" s="21"/>
      <c r="F15" s="21"/>
      <c r="G15" s="21"/>
      <c r="H15" s="21"/>
      <c r="I15" s="22"/>
      <c r="J15" s="22"/>
      <c r="K15" s="22"/>
      <c r="L15" s="21"/>
      <c r="M15" s="21"/>
      <c r="N15" s="21"/>
      <c r="O15" s="21">
        <v>669.0</v>
      </c>
      <c r="P15" s="21"/>
      <c r="Q15" s="21"/>
    </row>
    <row r="16">
      <c r="A16" s="25">
        <v>13.0</v>
      </c>
      <c r="B16" s="31" t="s">
        <v>22</v>
      </c>
      <c r="C16" s="21"/>
      <c r="D16" s="21"/>
      <c r="E16" s="21"/>
      <c r="F16" s="21"/>
      <c r="G16" s="21"/>
      <c r="H16" s="19">
        <v>650.0</v>
      </c>
      <c r="I16" s="21"/>
      <c r="J16" s="22"/>
      <c r="K16" s="22">
        <f>3000+700</f>
        <v>3700</v>
      </c>
      <c r="L16" s="21"/>
      <c r="M16" s="21"/>
      <c r="N16" s="21"/>
      <c r="O16" s="21">
        <v>750.0</v>
      </c>
      <c r="P16" s="21"/>
      <c r="Q16" s="21"/>
    </row>
    <row r="17">
      <c r="A17" s="25">
        <v>14.0</v>
      </c>
      <c r="B17" s="31" t="s">
        <v>23</v>
      </c>
      <c r="C17" s="21"/>
      <c r="D17" s="21">
        <v>1400.0</v>
      </c>
      <c r="E17" s="21"/>
      <c r="F17" s="21"/>
      <c r="G17" s="21"/>
      <c r="H17" s="21"/>
      <c r="I17" s="22"/>
      <c r="J17" s="22">
        <v>410.0</v>
      </c>
      <c r="K17" s="22"/>
      <c r="L17" s="21"/>
      <c r="M17" s="21"/>
      <c r="N17" s="21"/>
      <c r="O17" s="21">
        <v>1038.0</v>
      </c>
      <c r="P17" s="21"/>
      <c r="Q17" s="21"/>
    </row>
    <row r="18">
      <c r="A18" s="25">
        <v>15.0</v>
      </c>
      <c r="B18" s="31" t="s">
        <v>17</v>
      </c>
      <c r="C18" s="21"/>
      <c r="D18" s="21"/>
      <c r="E18" s="21"/>
      <c r="F18" s="21"/>
      <c r="G18" s="21"/>
      <c r="H18" s="21"/>
      <c r="I18" s="22"/>
      <c r="J18" s="22"/>
      <c r="K18" s="22"/>
      <c r="L18" s="21"/>
      <c r="M18" s="21"/>
      <c r="N18" s="21"/>
      <c r="O18" s="21">
        <v>700.0</v>
      </c>
      <c r="P18" s="21"/>
      <c r="Q18" s="21"/>
    </row>
    <row r="19">
      <c r="A19" s="25">
        <v>16.0</v>
      </c>
      <c r="B19" s="31" t="s">
        <v>18</v>
      </c>
      <c r="C19" s="21"/>
      <c r="D19" s="21"/>
      <c r="E19" s="21"/>
      <c r="F19" s="21"/>
      <c r="G19" s="21"/>
      <c r="H19" s="21"/>
      <c r="I19" s="22"/>
      <c r="J19" s="22"/>
      <c r="L19" s="21"/>
      <c r="M19" s="21"/>
      <c r="N19" s="21"/>
      <c r="O19" s="22"/>
      <c r="P19" s="21"/>
      <c r="Q19" s="21"/>
    </row>
    <row r="20">
      <c r="A20" s="25">
        <v>17.0</v>
      </c>
      <c r="B20" s="31" t="s">
        <v>19</v>
      </c>
      <c r="C20" s="21"/>
      <c r="D20" s="21"/>
      <c r="E20" s="21"/>
      <c r="F20" s="21"/>
      <c r="G20" s="21"/>
      <c r="H20" s="21"/>
      <c r="I20" s="22"/>
      <c r="J20" s="22"/>
      <c r="K20" s="22"/>
      <c r="L20" s="21"/>
      <c r="M20" s="21"/>
      <c r="N20" s="21"/>
      <c r="O20" s="21">
        <v>50000.0</v>
      </c>
      <c r="P20" s="21"/>
      <c r="Q20" s="21"/>
    </row>
    <row r="21">
      <c r="A21" s="25">
        <v>18.0</v>
      </c>
      <c r="B21" s="31" t="s">
        <v>20</v>
      </c>
      <c r="C21" s="21"/>
      <c r="D21" s="21"/>
      <c r="E21" s="21"/>
      <c r="F21" s="21"/>
      <c r="G21" s="21"/>
      <c r="H21" s="21"/>
      <c r="I21" s="22"/>
      <c r="J21" s="22"/>
      <c r="K21" s="22"/>
      <c r="L21" s="21"/>
      <c r="M21" s="21"/>
      <c r="N21" s="21"/>
      <c r="O21" s="21"/>
      <c r="P21" s="21"/>
      <c r="Q21" s="21"/>
    </row>
    <row r="22">
      <c r="A22" s="25">
        <v>19.0</v>
      </c>
      <c r="B22" s="29" t="s">
        <v>21</v>
      </c>
      <c r="C22" s="21"/>
      <c r="D22" s="21"/>
      <c r="E22" s="21"/>
      <c r="F22" s="21"/>
      <c r="H22" s="21"/>
      <c r="I22" s="22"/>
      <c r="J22" s="22"/>
      <c r="K22" s="22"/>
      <c r="L22" s="21"/>
      <c r="M22" s="21"/>
      <c r="N22" s="21"/>
      <c r="O22" s="21"/>
      <c r="P22" s="21"/>
      <c r="Q22" s="21"/>
    </row>
    <row r="23">
      <c r="A23" s="25">
        <v>20.0</v>
      </c>
      <c r="B23" s="31" t="s">
        <v>22</v>
      </c>
      <c r="C23" s="21"/>
      <c r="D23" s="21"/>
      <c r="E23" s="21"/>
      <c r="F23" s="21"/>
      <c r="G23" s="21"/>
      <c r="H23" s="21"/>
      <c r="I23" s="22"/>
      <c r="J23" s="22"/>
      <c r="K23" s="22"/>
      <c r="L23" s="21"/>
      <c r="M23" s="21"/>
      <c r="N23" s="21"/>
      <c r="O23" s="21"/>
      <c r="P23" s="21"/>
      <c r="Q23" s="21"/>
    </row>
    <row r="24">
      <c r="A24" s="25">
        <v>21.0</v>
      </c>
      <c r="B24" s="31" t="s">
        <v>23</v>
      </c>
      <c r="C24" s="21"/>
      <c r="D24" s="21"/>
      <c r="E24" s="21"/>
      <c r="F24" s="21"/>
      <c r="H24" s="21"/>
      <c r="I24" s="22"/>
      <c r="J24" s="22"/>
      <c r="K24" s="22"/>
      <c r="L24" s="21"/>
      <c r="M24" s="32"/>
      <c r="N24" s="32"/>
      <c r="O24" s="21"/>
      <c r="P24" s="21"/>
      <c r="Q24" s="21"/>
    </row>
    <row r="25">
      <c r="A25" s="25">
        <v>22.0</v>
      </c>
      <c r="B25" s="31" t="s">
        <v>17</v>
      </c>
      <c r="C25" s="21"/>
      <c r="D25" s="21"/>
      <c r="E25" s="21"/>
      <c r="F25" s="21"/>
      <c r="G25" s="21"/>
      <c r="H25" s="21">
        <v>600.0</v>
      </c>
      <c r="I25" s="22"/>
      <c r="J25" s="22"/>
      <c r="K25" s="22"/>
      <c r="L25" s="21"/>
      <c r="M25" s="22"/>
      <c r="N25" s="21"/>
      <c r="O25" s="21"/>
      <c r="P25" s="21"/>
      <c r="Q25" s="21"/>
    </row>
    <row r="26">
      <c r="A26" s="25">
        <v>23.0</v>
      </c>
      <c r="B26" s="31" t="s">
        <v>18</v>
      </c>
      <c r="C26" s="21">
        <v>20000.0</v>
      </c>
      <c r="D26" s="21"/>
      <c r="E26" s="21"/>
      <c r="F26" s="21"/>
      <c r="G26" s="21"/>
      <c r="H26" s="21"/>
      <c r="I26" s="22"/>
      <c r="J26" s="22"/>
      <c r="K26" s="22"/>
      <c r="L26" s="21"/>
      <c r="M26" s="21"/>
      <c r="N26" s="21"/>
      <c r="O26" s="21"/>
      <c r="P26" s="21"/>
      <c r="Q26" s="21"/>
    </row>
    <row r="27">
      <c r="A27" s="25">
        <v>24.0</v>
      </c>
      <c r="B27" s="31" t="s">
        <v>19</v>
      </c>
      <c r="C27" s="21"/>
      <c r="D27" s="21"/>
      <c r="E27" s="21"/>
      <c r="F27" s="21"/>
      <c r="G27" s="21"/>
      <c r="H27" s="21">
        <v>900.0</v>
      </c>
      <c r="I27" s="22"/>
      <c r="J27" s="22">
        <v>320.0</v>
      </c>
      <c r="K27" s="22">
        <v>700.0</v>
      </c>
      <c r="L27" s="21"/>
      <c r="M27" s="21"/>
      <c r="N27" s="21"/>
      <c r="O27" s="21">
        <v>1200.0</v>
      </c>
      <c r="P27" s="21"/>
      <c r="Q27" s="21"/>
    </row>
    <row r="28">
      <c r="A28" s="25">
        <v>25.0</v>
      </c>
      <c r="B28" s="31" t="s">
        <v>20</v>
      </c>
      <c r="C28" s="21"/>
      <c r="D28" s="21"/>
      <c r="E28" s="21"/>
      <c r="F28" s="21"/>
      <c r="G28" s="21"/>
      <c r="H28" s="21">
        <v>600.0</v>
      </c>
      <c r="I28" s="22"/>
      <c r="J28" s="22">
        <v>3200.0</v>
      </c>
      <c r="K28" s="22"/>
      <c r="L28" s="21"/>
      <c r="M28" s="22"/>
      <c r="N28" s="33"/>
      <c r="O28" s="21"/>
      <c r="P28" s="21"/>
      <c r="Q28" s="21"/>
    </row>
    <row r="29">
      <c r="A29" s="25">
        <v>26.0</v>
      </c>
      <c r="B29" s="29" t="s">
        <v>21</v>
      </c>
      <c r="C29" s="21"/>
      <c r="D29" s="21"/>
      <c r="E29" s="21"/>
      <c r="F29" s="21"/>
      <c r="G29" s="21"/>
      <c r="H29" s="21">
        <f>700+300+550</f>
        <v>1550</v>
      </c>
      <c r="I29" s="22"/>
      <c r="J29" s="22"/>
      <c r="K29" s="22"/>
      <c r="L29" s="21"/>
      <c r="M29" s="21"/>
      <c r="N29" s="21"/>
      <c r="O29" s="21"/>
      <c r="P29" s="21"/>
      <c r="Q29" s="21"/>
    </row>
    <row r="30">
      <c r="A30" s="25">
        <v>27.0</v>
      </c>
      <c r="B30" s="31" t="s">
        <v>22</v>
      </c>
      <c r="C30" s="21"/>
      <c r="D30" s="21"/>
      <c r="E30" s="21"/>
      <c r="F30" s="21"/>
      <c r="G30" s="21"/>
      <c r="H30" s="22">
        <v>500.0</v>
      </c>
      <c r="I30" s="22"/>
      <c r="J30" s="22"/>
      <c r="K30" s="22">
        <v>2000.0</v>
      </c>
      <c r="L30" s="21"/>
      <c r="M30" s="21"/>
      <c r="N30" s="21"/>
      <c r="O30" s="21">
        <v>410.0</v>
      </c>
      <c r="P30" s="21"/>
      <c r="Q30" s="21"/>
    </row>
    <row r="31">
      <c r="A31" s="25">
        <v>28.0</v>
      </c>
      <c r="B31" s="31" t="s">
        <v>23</v>
      </c>
      <c r="C31" s="21"/>
      <c r="D31" s="21"/>
      <c r="E31" s="21"/>
      <c r="F31" s="21"/>
      <c r="G31" s="21"/>
      <c r="H31" s="22">
        <v>500.0</v>
      </c>
      <c r="I31" s="22"/>
      <c r="J31" s="22"/>
      <c r="K31" s="22">
        <v>750.0</v>
      </c>
      <c r="L31" s="21"/>
      <c r="M31" s="21"/>
      <c r="N31" s="21"/>
      <c r="O31" s="21">
        <f>200+400</f>
        <v>600</v>
      </c>
      <c r="P31" s="21"/>
      <c r="Q31" s="21"/>
    </row>
    <row r="32">
      <c r="A32" s="25">
        <v>29.0</v>
      </c>
      <c r="B32" s="31" t="s">
        <v>17</v>
      </c>
      <c r="C32" s="21"/>
      <c r="D32" s="21"/>
      <c r="E32" s="21"/>
      <c r="F32" s="21"/>
      <c r="G32" s="21"/>
      <c r="H32" s="22"/>
      <c r="I32" s="22"/>
      <c r="J32" s="22"/>
      <c r="K32" s="22"/>
      <c r="L32" s="21"/>
      <c r="M32" s="21"/>
      <c r="N32" s="21"/>
      <c r="O32" s="21"/>
      <c r="P32" s="21"/>
      <c r="Q32" s="21"/>
    </row>
    <row r="33">
      <c r="A33" s="25">
        <v>30.0</v>
      </c>
      <c r="B33" s="31" t="s">
        <v>18</v>
      </c>
      <c r="C33" s="21"/>
      <c r="D33" s="21"/>
      <c r="E33" s="21"/>
      <c r="F33" s="21"/>
      <c r="G33" s="21"/>
      <c r="H33" s="22"/>
      <c r="I33" s="22"/>
      <c r="J33" s="22"/>
      <c r="K33" s="22"/>
      <c r="L33" s="21"/>
      <c r="M33" s="21"/>
      <c r="N33" s="21"/>
      <c r="O33" s="21"/>
      <c r="P33" s="21"/>
      <c r="Q33" s="21"/>
    </row>
    <row r="34">
      <c r="A34" s="34"/>
      <c r="B34" s="34"/>
      <c r="C34" s="35">
        <f>SUM(C4:C33)</f>
        <v>22000</v>
      </c>
      <c r="D34" s="35">
        <f>SUM(D4:D30)</f>
        <v>1400</v>
      </c>
      <c r="E34" s="35">
        <f t="shared" ref="E34:F34" si="1">SUM(E4:E12)</f>
        <v>3800</v>
      </c>
      <c r="F34" s="35">
        <f t="shared" si="1"/>
        <v>0</v>
      </c>
      <c r="G34" s="35">
        <f>SUM(G4:G30)</f>
        <v>0</v>
      </c>
      <c r="H34" s="35">
        <f>SUM(H4:H33)</f>
        <v>8172</v>
      </c>
      <c r="I34" s="35">
        <f t="shared" ref="I34:J34" si="2">SUM(I4:I30)</f>
        <v>0</v>
      </c>
      <c r="J34" s="35">
        <f t="shared" si="2"/>
        <v>5680</v>
      </c>
      <c r="K34" s="35">
        <f>SUM(K4:K31)</f>
        <v>12580</v>
      </c>
      <c r="L34" s="35">
        <f>SUM(L4:L20)</f>
        <v>3732.75</v>
      </c>
      <c r="M34" s="35">
        <f t="shared" ref="M34:N34" si="3">SUM(M4:M30)</f>
        <v>0</v>
      </c>
      <c r="N34" s="35">
        <f t="shared" si="3"/>
        <v>0</v>
      </c>
      <c r="O34" s="35">
        <f>SUM(O4:O33)</f>
        <v>90771</v>
      </c>
      <c r="P34" s="35">
        <f>SUM(P6:P20)</f>
        <v>0</v>
      </c>
      <c r="Q34" s="18">
        <f>SUM(D34:P34)</f>
        <v>126135.75</v>
      </c>
    </row>
    <row r="35">
      <c r="A35" s="34"/>
      <c r="B35" s="34"/>
      <c r="C35" s="36">
        <f t="shared" ref="C35:Q35" si="4">C3-C34</f>
        <v>3000</v>
      </c>
      <c r="D35" s="36">
        <f t="shared" si="4"/>
        <v>1100</v>
      </c>
      <c r="E35" s="36">
        <f t="shared" si="4"/>
        <v>1200</v>
      </c>
      <c r="F35" s="36">
        <f t="shared" si="4"/>
        <v>800</v>
      </c>
      <c r="G35" s="36">
        <f t="shared" si="4"/>
        <v>16000</v>
      </c>
      <c r="H35" s="36">
        <f t="shared" si="4"/>
        <v>-3172</v>
      </c>
      <c r="I35" s="36">
        <f t="shared" si="4"/>
        <v>7000</v>
      </c>
      <c r="J35" s="36">
        <f t="shared" si="4"/>
        <v>4320</v>
      </c>
      <c r="K35" s="36">
        <f t="shared" si="4"/>
        <v>-5580</v>
      </c>
      <c r="L35" s="36">
        <f t="shared" si="4"/>
        <v>267.25</v>
      </c>
      <c r="M35" s="36">
        <f t="shared" si="4"/>
        <v>5000</v>
      </c>
      <c r="N35" s="36">
        <f t="shared" si="4"/>
        <v>8000</v>
      </c>
      <c r="O35" s="37">
        <f t="shared" si="4"/>
        <v>-84771</v>
      </c>
      <c r="P35" s="38">
        <f t="shared" si="4"/>
        <v>4000</v>
      </c>
      <c r="Q35" s="36">
        <f t="shared" si="4"/>
        <v>-20835.75</v>
      </c>
    </row>
    <row r="36">
      <c r="A36" s="16"/>
      <c r="B36" s="16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</row>
  </sheetData>
  <mergeCells count="1">
    <mergeCell ref="C1:Q1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10" width="14.25"/>
    <col customWidth="1" min="11" max="11" width="19.38"/>
    <col customWidth="1" min="12" max="12" width="18.75"/>
    <col customWidth="1" min="13" max="13" width="22.0"/>
  </cols>
  <sheetData>
    <row r="1">
      <c r="A1" s="40"/>
      <c r="B1" s="41"/>
      <c r="C1" s="42" t="s">
        <v>24</v>
      </c>
      <c r="D1" s="43" t="s">
        <v>25</v>
      </c>
      <c r="E1" s="44" t="s">
        <v>26</v>
      </c>
      <c r="F1" s="45" t="s">
        <v>27</v>
      </c>
      <c r="G1" s="46" t="s">
        <v>28</v>
      </c>
      <c r="I1" s="47" t="s">
        <v>29</v>
      </c>
      <c r="J1" s="48"/>
    </row>
    <row r="2">
      <c r="A2" s="34"/>
      <c r="B2" s="49" t="s">
        <v>30</v>
      </c>
      <c r="C2" s="50">
        <v>28192.71</v>
      </c>
      <c r="D2" s="51"/>
      <c r="E2" s="52"/>
      <c r="F2" s="50"/>
      <c r="G2" s="53">
        <f t="shared" ref="G2:G4" si="1">SUM(C2:F2)</f>
        <v>28192.71</v>
      </c>
      <c r="I2" s="54" t="s">
        <v>31</v>
      </c>
      <c r="J2" s="55">
        <v>11000.0</v>
      </c>
      <c r="L2" s="56" t="s">
        <v>32</v>
      </c>
    </row>
    <row r="3">
      <c r="A3" s="34"/>
      <c r="B3" s="57" t="s">
        <v>33</v>
      </c>
      <c r="C3" s="58">
        <v>19500.0</v>
      </c>
      <c r="D3" s="58"/>
      <c r="E3" s="58">
        <v>19500.0</v>
      </c>
      <c r="F3" s="59"/>
      <c r="G3" s="53">
        <f t="shared" si="1"/>
        <v>39000</v>
      </c>
      <c r="I3" s="60" t="s">
        <v>34</v>
      </c>
      <c r="J3" s="61" t="s">
        <v>35</v>
      </c>
      <c r="L3" s="62" t="s">
        <v>36</v>
      </c>
      <c r="M3" s="63">
        <v>4.407879085E9</v>
      </c>
    </row>
    <row r="4">
      <c r="A4" s="40"/>
      <c r="B4" s="64" t="s">
        <v>37</v>
      </c>
      <c r="C4" s="65">
        <f t="shared" ref="C4:F4" si="2">SUM(C2:C3)</f>
        <v>47692.71</v>
      </c>
      <c r="D4" s="65">
        <f t="shared" si="2"/>
        <v>0</v>
      </c>
      <c r="E4" s="65">
        <f t="shared" si="2"/>
        <v>19500</v>
      </c>
      <c r="F4" s="65">
        <f t="shared" si="2"/>
        <v>0</v>
      </c>
      <c r="G4" s="66">
        <f t="shared" si="1"/>
        <v>67192.71</v>
      </c>
      <c r="I4" s="67">
        <f>BUDGET!Q34</f>
        <v>126135.75</v>
      </c>
      <c r="J4" s="68">
        <f>G4-I4</f>
        <v>-58943.04</v>
      </c>
      <c r="L4" s="62" t="s">
        <v>38</v>
      </c>
      <c r="M4" s="69">
        <v>45670.0</v>
      </c>
    </row>
    <row r="5">
      <c r="E5" s="56"/>
      <c r="F5" s="56"/>
      <c r="L5" s="62" t="s">
        <v>39</v>
      </c>
      <c r="M5" s="32">
        <v>1392.0</v>
      </c>
    </row>
    <row r="6">
      <c r="B6" s="70" t="s">
        <v>40</v>
      </c>
      <c r="C6" s="71"/>
      <c r="D6" s="72" t="s">
        <v>41</v>
      </c>
      <c r="E6" s="73" t="s">
        <v>42</v>
      </c>
      <c r="G6" s="74" t="s">
        <v>43</v>
      </c>
      <c r="H6" s="71"/>
      <c r="I6" s="72" t="s">
        <v>44</v>
      </c>
      <c r="J6" s="73" t="s">
        <v>42</v>
      </c>
      <c r="M6" s="75">
        <f>M5+M10</f>
        <v>3111</v>
      </c>
    </row>
    <row r="7">
      <c r="B7" s="76" t="s">
        <v>45</v>
      </c>
      <c r="C7" s="76" t="s">
        <v>46</v>
      </c>
      <c r="D7" s="77">
        <f>SUM(D8:D42)</f>
        <v>34298.05</v>
      </c>
      <c r="E7" s="78"/>
      <c r="G7" s="76" t="s">
        <v>45</v>
      </c>
      <c r="H7" s="76" t="s">
        <v>46</v>
      </c>
      <c r="I7" s="77">
        <f>SUM(I8:I42)</f>
        <v>28154.346</v>
      </c>
      <c r="J7" s="79"/>
      <c r="L7" s="56" t="s">
        <v>47</v>
      </c>
    </row>
    <row r="8">
      <c r="B8" s="80">
        <v>46025.0</v>
      </c>
      <c r="C8" s="81">
        <v>8724.04</v>
      </c>
      <c r="D8" s="82">
        <f t="shared" ref="D8:D15" si="3">C8*0.1</f>
        <v>872.404</v>
      </c>
      <c r="E8" s="83"/>
      <c r="G8" s="84">
        <v>46042.0</v>
      </c>
      <c r="H8" s="85">
        <v>50016.42</v>
      </c>
      <c r="I8" s="86">
        <f>H8*0.1</f>
        <v>5001.642</v>
      </c>
      <c r="J8" s="87"/>
      <c r="L8" s="62" t="s">
        <v>36</v>
      </c>
      <c r="M8" s="63">
        <v>4.407877899E9</v>
      </c>
    </row>
    <row r="9">
      <c r="B9" s="80">
        <v>46027.0</v>
      </c>
      <c r="C9" s="81">
        <v>19500.0</v>
      </c>
      <c r="D9" s="82">
        <f t="shared" si="3"/>
        <v>1950</v>
      </c>
      <c r="E9" s="83"/>
      <c r="G9" s="84">
        <v>46054.0</v>
      </c>
      <c r="H9" s="85"/>
      <c r="I9" s="82">
        <v>1000.0</v>
      </c>
      <c r="J9" s="87"/>
      <c r="L9" s="62" t="s">
        <v>38</v>
      </c>
      <c r="M9" s="69">
        <v>45670.0</v>
      </c>
    </row>
    <row r="10">
      <c r="B10" s="80">
        <v>46031.0</v>
      </c>
      <c r="C10" s="81">
        <v>8786.26</v>
      </c>
      <c r="D10" s="82">
        <f t="shared" si="3"/>
        <v>878.626</v>
      </c>
      <c r="E10" s="83"/>
      <c r="G10" s="84">
        <v>46063.0</v>
      </c>
      <c r="H10" s="88">
        <v>27398.99</v>
      </c>
      <c r="I10" s="86">
        <f t="shared" ref="I10:I16" si="4">H10*0.1</f>
        <v>2739.899</v>
      </c>
      <c r="J10" s="89"/>
      <c r="L10" s="62" t="s">
        <v>39</v>
      </c>
      <c r="M10" s="32">
        <v>1719.0</v>
      </c>
    </row>
    <row r="11">
      <c r="B11" s="80">
        <v>46038.0</v>
      </c>
      <c r="C11" s="81">
        <v>8805.61</v>
      </c>
      <c r="D11" s="82">
        <f t="shared" si="3"/>
        <v>880.561</v>
      </c>
      <c r="E11" s="83"/>
      <c r="G11" s="84">
        <v>46071.0</v>
      </c>
      <c r="H11" s="85">
        <v>13500.0</v>
      </c>
      <c r="I11" s="86">
        <f t="shared" si="4"/>
        <v>1350</v>
      </c>
      <c r="J11" s="85"/>
    </row>
    <row r="12">
      <c r="B12" s="80">
        <v>46042.0</v>
      </c>
      <c r="C12" s="81">
        <v>19500.0</v>
      </c>
      <c r="D12" s="82">
        <f t="shared" si="3"/>
        <v>1950</v>
      </c>
      <c r="E12" s="83"/>
      <c r="G12" s="84">
        <v>46085.0</v>
      </c>
      <c r="H12" s="85">
        <v>27371.34</v>
      </c>
      <c r="I12" s="86">
        <f t="shared" si="4"/>
        <v>2737.134</v>
      </c>
      <c r="J12" s="90"/>
    </row>
    <row r="13" ht="15.75" customHeight="1">
      <c r="B13" s="91">
        <v>46045.0</v>
      </c>
      <c r="C13" s="92">
        <v>8763.27</v>
      </c>
      <c r="D13" s="93">
        <f t="shared" si="3"/>
        <v>876.327</v>
      </c>
      <c r="E13" s="94"/>
      <c r="G13" s="84">
        <v>46085.0</v>
      </c>
      <c r="H13" s="85">
        <v>13500.0</v>
      </c>
      <c r="I13" s="86">
        <f t="shared" si="4"/>
        <v>1350</v>
      </c>
      <c r="J13" s="95"/>
      <c r="L13" s="56" t="s">
        <v>48</v>
      </c>
    </row>
    <row r="14">
      <c r="B14" s="91">
        <v>46050.0</v>
      </c>
      <c r="C14" s="85">
        <v>13750.0</v>
      </c>
      <c r="D14" s="93">
        <f t="shared" si="3"/>
        <v>1375</v>
      </c>
      <c r="E14" s="94"/>
      <c r="G14" s="84">
        <v>46106.0</v>
      </c>
      <c r="H14" s="85">
        <v>14064.0</v>
      </c>
      <c r="I14" s="86">
        <f t="shared" si="4"/>
        <v>1406.4</v>
      </c>
      <c r="J14" s="85"/>
      <c r="L14" s="62" t="s">
        <v>38</v>
      </c>
      <c r="M14" s="69">
        <v>45668.0</v>
      </c>
    </row>
    <row r="15">
      <c r="B15" s="96">
        <v>46052.0</v>
      </c>
      <c r="C15" s="85">
        <v>8733.01</v>
      </c>
      <c r="D15" s="93">
        <f t="shared" si="3"/>
        <v>873.301</v>
      </c>
      <c r="E15" s="94"/>
      <c r="G15" s="84">
        <v>46106.0</v>
      </c>
      <c r="H15" s="97">
        <v>46000.0</v>
      </c>
      <c r="I15" s="86">
        <f t="shared" si="4"/>
        <v>4600</v>
      </c>
      <c r="J15" s="98"/>
      <c r="L15" s="19" t="s">
        <v>49</v>
      </c>
      <c r="M15" s="19" t="s">
        <v>50</v>
      </c>
    </row>
    <row r="16">
      <c r="B16" s="96">
        <v>46054.0</v>
      </c>
      <c r="C16" s="85"/>
      <c r="D16" s="93">
        <v>1000.0</v>
      </c>
      <c r="E16" s="94"/>
      <c r="G16" s="84">
        <v>46119.0</v>
      </c>
      <c r="H16" s="89">
        <v>28192.71</v>
      </c>
      <c r="I16" s="99">
        <f t="shared" si="4"/>
        <v>2819.271</v>
      </c>
      <c r="J16" s="94"/>
      <c r="L16" s="19" t="s">
        <v>51</v>
      </c>
      <c r="M16" s="19" t="s">
        <v>52</v>
      </c>
    </row>
    <row r="17">
      <c r="B17" s="100">
        <v>46058.0</v>
      </c>
      <c r="C17" s="85">
        <v>19500.0</v>
      </c>
      <c r="D17" s="93">
        <f t="shared" ref="D17:D35" si="5">C17*0.1</f>
        <v>1950</v>
      </c>
      <c r="E17" s="85"/>
      <c r="G17" s="84">
        <v>46142.0</v>
      </c>
      <c r="H17" s="85">
        <v>51500.0</v>
      </c>
      <c r="I17" s="101">
        <v>5150.0</v>
      </c>
      <c r="J17" s="85"/>
      <c r="L17" s="19" t="s">
        <v>53</v>
      </c>
      <c r="M17" s="19" t="s">
        <v>54</v>
      </c>
    </row>
    <row r="18">
      <c r="B18" s="100">
        <v>46059.0</v>
      </c>
      <c r="C18" s="85">
        <v>8677.7</v>
      </c>
      <c r="D18" s="93">
        <f t="shared" si="5"/>
        <v>867.77</v>
      </c>
      <c r="E18" s="85"/>
      <c r="F18" s="32"/>
      <c r="G18" s="91"/>
      <c r="H18" s="89"/>
      <c r="I18" s="98"/>
      <c r="J18" s="85"/>
      <c r="M18" s="19"/>
    </row>
    <row r="19">
      <c r="B19" s="100">
        <v>46066.0</v>
      </c>
      <c r="C19" s="85">
        <v>8581.97</v>
      </c>
      <c r="D19" s="93">
        <f t="shared" si="5"/>
        <v>858.197</v>
      </c>
      <c r="E19" s="85"/>
      <c r="F19" s="32"/>
      <c r="G19" s="91"/>
      <c r="H19" s="85"/>
      <c r="I19" s="98"/>
      <c r="J19" s="85"/>
      <c r="M19" s="19">
        <v>93.27</v>
      </c>
    </row>
    <row r="20">
      <c r="B20" s="100">
        <v>46073.0</v>
      </c>
      <c r="C20" s="102">
        <v>19500.0</v>
      </c>
      <c r="D20" s="93">
        <f t="shared" si="5"/>
        <v>1950</v>
      </c>
      <c r="E20" s="95"/>
      <c r="F20" s="32"/>
      <c r="G20" s="91"/>
      <c r="H20" s="85"/>
      <c r="I20" s="98"/>
      <c r="J20" s="94"/>
    </row>
    <row r="21">
      <c r="B21" s="100">
        <v>46073.0</v>
      </c>
      <c r="C21" s="95">
        <v>8625.35</v>
      </c>
      <c r="D21" s="93">
        <f t="shared" si="5"/>
        <v>862.535</v>
      </c>
      <c r="E21" s="94"/>
      <c r="F21" s="32"/>
      <c r="G21" s="91"/>
      <c r="H21" s="85"/>
      <c r="I21" s="98"/>
      <c r="J21" s="89"/>
      <c r="L21" s="56" t="s">
        <v>55</v>
      </c>
      <c r="M21" s="19" t="s">
        <v>56</v>
      </c>
    </row>
    <row r="22">
      <c r="B22" s="103">
        <v>46081.0</v>
      </c>
      <c r="C22" s="85">
        <v>8554.41</v>
      </c>
      <c r="D22" s="86">
        <f t="shared" si="5"/>
        <v>855.441</v>
      </c>
      <c r="E22" s="94"/>
      <c r="G22" s="91"/>
      <c r="H22" s="85"/>
      <c r="I22" s="98"/>
      <c r="J22" s="94"/>
    </row>
    <row r="23">
      <c r="B23" s="103">
        <v>46086.0</v>
      </c>
      <c r="C23" s="85">
        <v>19500.0</v>
      </c>
      <c r="D23" s="86">
        <f t="shared" si="5"/>
        <v>1950</v>
      </c>
      <c r="E23" s="94"/>
      <c r="G23" s="91"/>
      <c r="H23" s="85"/>
      <c r="I23" s="98"/>
      <c r="J23" s="85"/>
    </row>
    <row r="24">
      <c r="B24" s="103">
        <v>46087.0</v>
      </c>
      <c r="C24" s="95">
        <v>8790.11</v>
      </c>
      <c r="D24" s="104">
        <f t="shared" si="5"/>
        <v>879.011</v>
      </c>
      <c r="E24" s="94"/>
      <c r="G24" s="91"/>
      <c r="H24" s="85"/>
      <c r="I24" s="98"/>
      <c r="J24" s="94"/>
    </row>
    <row r="25">
      <c r="B25" s="103">
        <v>46094.0</v>
      </c>
      <c r="C25" s="85">
        <v>8852.77</v>
      </c>
      <c r="D25" s="104">
        <f t="shared" si="5"/>
        <v>885.277</v>
      </c>
      <c r="E25" s="95"/>
      <c r="G25" s="84"/>
      <c r="H25" s="85"/>
      <c r="I25" s="98"/>
      <c r="J25" s="94"/>
      <c r="M25" s="105"/>
    </row>
    <row r="26">
      <c r="B26" s="103">
        <v>46101.0</v>
      </c>
      <c r="C26" s="95">
        <v>8874.13</v>
      </c>
      <c r="D26" s="104">
        <f t="shared" si="5"/>
        <v>887.413</v>
      </c>
      <c r="E26" s="79"/>
      <c r="G26" s="96"/>
      <c r="H26" s="85"/>
      <c r="I26" s="98"/>
      <c r="J26" s="94"/>
      <c r="K26" s="106" t="s">
        <v>57</v>
      </c>
      <c r="L26" s="19" t="s">
        <v>58</v>
      </c>
      <c r="M26" s="105">
        <v>20000.0</v>
      </c>
    </row>
    <row r="27">
      <c r="B27" s="103">
        <v>46102.0</v>
      </c>
      <c r="C27" s="85">
        <v>19500.0</v>
      </c>
      <c r="D27" s="104">
        <f t="shared" si="5"/>
        <v>1950</v>
      </c>
      <c r="E27" s="107"/>
      <c r="G27" s="84"/>
      <c r="H27" s="108"/>
      <c r="I27" s="98"/>
      <c r="J27" s="94"/>
      <c r="L27" s="19" t="s">
        <v>3</v>
      </c>
      <c r="M27" s="105">
        <v>2000.0</v>
      </c>
    </row>
    <row r="28">
      <c r="B28" s="103">
        <v>46106.0</v>
      </c>
      <c r="C28" s="85">
        <v>13750.0</v>
      </c>
      <c r="D28" s="104">
        <f t="shared" si="5"/>
        <v>1375</v>
      </c>
      <c r="E28" s="94"/>
      <c r="G28" s="84"/>
      <c r="H28" s="108"/>
      <c r="I28" s="98"/>
      <c r="J28" s="94"/>
      <c r="L28" s="19" t="s">
        <v>59</v>
      </c>
      <c r="M28" s="105">
        <f>800+BUDGET!G34</f>
        <v>800</v>
      </c>
    </row>
    <row r="29">
      <c r="B29" s="100">
        <v>46108.0</v>
      </c>
      <c r="C29" s="85">
        <v>8984.04</v>
      </c>
      <c r="D29" s="99">
        <f t="shared" si="5"/>
        <v>898.404</v>
      </c>
      <c r="E29" s="94"/>
      <c r="G29" s="84"/>
      <c r="H29" s="85"/>
      <c r="I29" s="98"/>
      <c r="J29" s="94"/>
      <c r="L29" s="19" t="s">
        <v>60</v>
      </c>
      <c r="M29" s="105">
        <v>3140.0</v>
      </c>
    </row>
    <row r="30">
      <c r="B30" s="91">
        <v>46115.0</v>
      </c>
      <c r="C30" s="85">
        <v>8932.57</v>
      </c>
      <c r="D30" s="99">
        <f t="shared" si="5"/>
        <v>893.257</v>
      </c>
      <c r="E30" s="94"/>
      <c r="G30" s="84"/>
      <c r="H30" s="95"/>
      <c r="I30" s="85"/>
      <c r="J30" s="85"/>
      <c r="L30" s="19" t="s">
        <v>61</v>
      </c>
      <c r="M30" s="105">
        <v>6600.0</v>
      </c>
    </row>
    <row r="31">
      <c r="B31" s="91">
        <v>46116.0</v>
      </c>
      <c r="C31" s="85">
        <v>19500.0</v>
      </c>
      <c r="D31" s="109">
        <f t="shared" si="5"/>
        <v>1950</v>
      </c>
      <c r="E31" s="94"/>
      <c r="G31" s="91"/>
      <c r="H31" s="85"/>
      <c r="I31" s="98"/>
      <c r="J31" s="85"/>
      <c r="L31" s="19" t="s">
        <v>4</v>
      </c>
      <c r="M31" s="105">
        <v>3000.0</v>
      </c>
    </row>
    <row r="32">
      <c r="B32" s="91">
        <v>46122.0</v>
      </c>
      <c r="C32" s="19">
        <v>8892.45</v>
      </c>
      <c r="D32" s="109">
        <f t="shared" si="5"/>
        <v>889.245</v>
      </c>
      <c r="E32" s="94"/>
      <c r="G32" s="91"/>
      <c r="H32" s="110"/>
      <c r="I32" s="111"/>
      <c r="J32" s="112"/>
      <c r="L32" s="19" t="s">
        <v>62</v>
      </c>
      <c r="M32" s="113">
        <f>SUM(M25:M31)</f>
        <v>35540</v>
      </c>
    </row>
    <row r="33">
      <c r="B33" s="91">
        <v>46129.0</v>
      </c>
      <c r="C33" s="85">
        <v>8903.2</v>
      </c>
      <c r="D33" s="109">
        <f t="shared" si="5"/>
        <v>890.32</v>
      </c>
      <c r="E33" s="94"/>
      <c r="G33" s="80"/>
      <c r="H33" s="114"/>
      <c r="I33" s="89"/>
      <c r="J33" s="115"/>
      <c r="L33" s="19" t="s">
        <v>63</v>
      </c>
      <c r="M33" s="116">
        <f>M32/2</f>
        <v>17770</v>
      </c>
    </row>
    <row r="34">
      <c r="B34" s="91">
        <v>46132.0</v>
      </c>
      <c r="C34" s="117">
        <v>19500.0</v>
      </c>
      <c r="D34" s="109">
        <f t="shared" si="5"/>
        <v>1950</v>
      </c>
      <c r="E34" s="94"/>
      <c r="G34" s="80"/>
      <c r="H34" s="89"/>
      <c r="I34" s="89"/>
      <c r="J34" s="115"/>
    </row>
    <row r="35">
      <c r="B35" s="91">
        <v>46136.0</v>
      </c>
      <c r="C35" s="85">
        <v>8999.61</v>
      </c>
      <c r="D35" s="109">
        <f t="shared" si="5"/>
        <v>899.961</v>
      </c>
      <c r="E35" s="94"/>
      <c r="G35" s="80"/>
      <c r="H35" s="85"/>
      <c r="I35" s="89"/>
      <c r="J35" s="115"/>
      <c r="K35" s="19" t="s">
        <v>64</v>
      </c>
      <c r="L35" s="118">
        <v>60064.0</v>
      </c>
      <c r="M35" s="24">
        <f>L35-M33</f>
        <v>42294</v>
      </c>
    </row>
    <row r="36">
      <c r="B36" s="91"/>
      <c r="C36" s="85"/>
      <c r="D36" s="94"/>
      <c r="E36" s="85"/>
      <c r="G36" s="80"/>
      <c r="H36" s="85"/>
      <c r="I36" s="89"/>
      <c r="J36" s="112"/>
      <c r="K36" s="19" t="s">
        <v>65</v>
      </c>
      <c r="L36" s="118">
        <v>59767.01</v>
      </c>
      <c r="M36" s="24">
        <f>L36-M33</f>
        <v>41997.01</v>
      </c>
    </row>
    <row r="37">
      <c r="B37" s="91"/>
      <c r="C37" s="85"/>
      <c r="D37" s="94"/>
      <c r="E37" s="94"/>
      <c r="G37" s="80"/>
      <c r="H37" s="85"/>
      <c r="I37" s="89"/>
      <c r="J37" s="112"/>
      <c r="L37" s="24"/>
      <c r="M37" s="24"/>
    </row>
    <row r="38">
      <c r="B38" s="91"/>
      <c r="C38" s="85"/>
      <c r="D38" s="94"/>
      <c r="E38" s="94"/>
      <c r="G38" s="80"/>
      <c r="H38" s="85"/>
      <c r="I38" s="89"/>
      <c r="J38" s="112"/>
      <c r="K38" s="19" t="s">
        <v>66</v>
      </c>
      <c r="L38" s="119">
        <f t="shared" ref="L38:L39" si="6">M35*0.1</f>
        <v>4229.4</v>
      </c>
      <c r="M38" s="24"/>
    </row>
    <row r="39">
      <c r="B39" s="91"/>
      <c r="C39" s="85"/>
      <c r="D39" s="94"/>
      <c r="E39" s="94"/>
      <c r="G39" s="84"/>
      <c r="H39" s="85"/>
      <c r="I39" s="89"/>
      <c r="J39" s="112"/>
      <c r="K39" s="19" t="s">
        <v>67</v>
      </c>
      <c r="L39" s="119">
        <f t="shared" si="6"/>
        <v>4199.701</v>
      </c>
      <c r="M39" s="24"/>
    </row>
    <row r="40">
      <c r="B40" s="91"/>
      <c r="C40" s="95"/>
      <c r="D40" s="94"/>
      <c r="E40" s="94"/>
      <c r="G40" s="84"/>
      <c r="H40" s="85"/>
      <c r="I40" s="89"/>
      <c r="J40" s="112"/>
    </row>
    <row r="41">
      <c r="B41" s="91"/>
      <c r="C41" s="85"/>
      <c r="D41" s="94"/>
      <c r="E41" s="94"/>
      <c r="G41" s="84"/>
      <c r="H41" s="85"/>
      <c r="I41" s="89"/>
      <c r="J41" s="112"/>
    </row>
    <row r="42">
      <c r="B42" s="91"/>
      <c r="C42" s="85"/>
      <c r="D42" s="94"/>
      <c r="E42" s="94"/>
      <c r="G42" s="84"/>
      <c r="H42" s="85"/>
      <c r="I42" s="89"/>
      <c r="J42" s="112"/>
    </row>
  </sheetData>
  <mergeCells count="2">
    <mergeCell ref="B6:C6"/>
    <mergeCell ref="G6:H6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4" width="12.75"/>
    <col customWidth="1" min="5" max="5" width="16.5"/>
    <col customWidth="1" min="6" max="6" width="22.88"/>
    <col customWidth="1" min="7" max="9" width="12.75"/>
    <col customWidth="1" min="10" max="10" width="16.5"/>
    <col customWidth="1" min="11" max="11" width="22.88"/>
    <col customWidth="1" min="12" max="14" width="13.25"/>
    <col customWidth="1" min="15" max="16" width="22.88"/>
    <col customWidth="1" min="20" max="20" width="14.25"/>
    <col customWidth="1" min="21" max="21" width="7.5"/>
    <col customWidth="1" min="22" max="22" width="22.88"/>
    <col customWidth="1" min="23" max="23" width="12.5"/>
    <col customWidth="1" min="24" max="24" width="12.13"/>
    <col customWidth="1" min="25" max="25" width="9.88"/>
    <col customWidth="1" min="26" max="26" width="10.5"/>
    <col customWidth="1" min="27" max="27" width="16.75"/>
    <col customWidth="1" min="28" max="28" width="29.0"/>
    <col customWidth="1" min="33" max="33" width="17.25"/>
  </cols>
  <sheetData>
    <row r="2">
      <c r="A2" s="120">
        <v>46023.0</v>
      </c>
      <c r="B2" s="42" t="s">
        <v>68</v>
      </c>
      <c r="C2" s="43" t="s">
        <v>69</v>
      </c>
      <c r="D2" s="46" t="s">
        <v>28</v>
      </c>
      <c r="E2" s="121">
        <v>2025.0</v>
      </c>
      <c r="F2" s="120">
        <v>45658.0</v>
      </c>
      <c r="G2" s="42" t="s">
        <v>68</v>
      </c>
      <c r="H2" s="43" t="s">
        <v>69</v>
      </c>
      <c r="I2" s="46" t="s">
        <v>28</v>
      </c>
      <c r="J2" s="121">
        <v>2025.0</v>
      </c>
      <c r="K2" s="122">
        <v>45292.0</v>
      </c>
      <c r="L2" s="42" t="s">
        <v>68</v>
      </c>
      <c r="M2" s="43" t="s">
        <v>69</v>
      </c>
      <c r="N2" s="46" t="s">
        <v>28</v>
      </c>
      <c r="O2" s="121">
        <v>2024.0</v>
      </c>
      <c r="P2" s="122">
        <v>44927.0</v>
      </c>
      <c r="Q2" s="123" t="s">
        <v>68</v>
      </c>
      <c r="R2" s="124" t="s">
        <v>69</v>
      </c>
      <c r="S2" s="125" t="s">
        <v>28</v>
      </c>
      <c r="T2" s="121">
        <v>2023.0</v>
      </c>
      <c r="V2" s="126">
        <v>44562.0</v>
      </c>
      <c r="W2" s="127" t="s">
        <v>70</v>
      </c>
      <c r="X2" s="42" t="s">
        <v>68</v>
      </c>
      <c r="Y2" s="43" t="s">
        <v>69</v>
      </c>
      <c r="Z2" s="46" t="s">
        <v>28</v>
      </c>
      <c r="AA2" s="128">
        <v>2022.0</v>
      </c>
      <c r="AB2" s="126">
        <v>44197.0</v>
      </c>
      <c r="AC2" s="127"/>
      <c r="AD2" s="129" t="s">
        <v>68</v>
      </c>
      <c r="AE2" s="130" t="s">
        <v>69</v>
      </c>
      <c r="AF2" s="131" t="s">
        <v>28</v>
      </c>
      <c r="AG2" s="128">
        <v>2021.0</v>
      </c>
    </row>
    <row r="3">
      <c r="A3" s="132" t="s">
        <v>71</v>
      </c>
      <c r="B3" s="88">
        <v>56344.2</v>
      </c>
      <c r="C3" s="85">
        <f>18500</f>
        <v>18500</v>
      </c>
      <c r="D3" s="133">
        <f t="shared" ref="D3:D5" si="1">SUM(B3:C3)</f>
        <v>74844.2</v>
      </c>
      <c r="E3" s="134">
        <f>D6+D15+D22+D31+D40+D49+D58+D66+D74+D81+D89+D96</f>
        <v>715913.38</v>
      </c>
      <c r="F3" s="132" t="s">
        <v>71</v>
      </c>
      <c r="G3" s="88">
        <v>24957.65</v>
      </c>
      <c r="H3" s="85">
        <v>24924.03</v>
      </c>
      <c r="I3" s="133">
        <f t="shared" ref="I3:I5" si="2">SUM(G3:H3)</f>
        <v>49881.68</v>
      </c>
      <c r="J3" s="134">
        <f>I6+I15+I22+I31+I40+I49+I58+I66+I74+I81+I89+I96</f>
        <v>1644461.75</v>
      </c>
      <c r="K3" s="132" t="s">
        <v>72</v>
      </c>
      <c r="L3" s="85">
        <v>25201.44</v>
      </c>
      <c r="M3" s="85">
        <v>24685.0</v>
      </c>
      <c r="N3" s="53"/>
      <c r="O3" s="135">
        <f>N6+N15+N22+N31+N40+N49+N58+N66+N74+N81+N89+N96</f>
        <v>1622580.41</v>
      </c>
      <c r="P3" s="136" t="s">
        <v>72</v>
      </c>
      <c r="Q3" s="137">
        <v>28449.0</v>
      </c>
      <c r="R3" s="137">
        <v>23996.0</v>
      </c>
      <c r="S3" s="138"/>
      <c r="T3" s="139">
        <f>S7+S16+S23+S32+S41+S49+S58+S66+S74+S81+S89+S96+S103</f>
        <v>1583449.15</v>
      </c>
      <c r="V3" s="132" t="s">
        <v>72</v>
      </c>
      <c r="W3" s="140"/>
      <c r="X3" s="141">
        <v>23889.7</v>
      </c>
      <c r="Y3" s="141">
        <v>20515.0</v>
      </c>
      <c r="Z3" s="142"/>
      <c r="AA3" s="143">
        <f>Z7+Z16+Z24+Z33+Z42+Z51+Z60+Z68+Z75+Z82+Z90+Z97</f>
        <v>1528918.51</v>
      </c>
      <c r="AB3" s="144" t="s">
        <v>73</v>
      </c>
      <c r="AC3" s="144"/>
      <c r="AD3" s="145">
        <v>20826.87</v>
      </c>
      <c r="AE3" s="144">
        <v>21726.0</v>
      </c>
      <c r="AF3" s="144"/>
      <c r="AG3" s="143">
        <f>AF7+AF16+AF24+AF33+AF42+AF51+AF60+AF68+AF75+AF82+AF90+AF97</f>
        <v>1198770.89</v>
      </c>
    </row>
    <row r="4">
      <c r="A4" s="132" t="s">
        <v>74</v>
      </c>
      <c r="B4" s="146">
        <v>19500.0</v>
      </c>
      <c r="C4" s="146">
        <f>19500+13750</f>
        <v>33250</v>
      </c>
      <c r="D4" s="133">
        <f t="shared" si="1"/>
        <v>52750</v>
      </c>
      <c r="E4" s="34"/>
      <c r="F4" s="132" t="s">
        <v>74</v>
      </c>
      <c r="G4" s="146">
        <v>19500.0</v>
      </c>
      <c r="H4" s="146">
        <f>19500+13750</f>
        <v>33250</v>
      </c>
      <c r="I4" s="133">
        <f t="shared" si="2"/>
        <v>52750</v>
      </c>
      <c r="J4" s="34"/>
      <c r="K4" s="132" t="s">
        <v>74</v>
      </c>
      <c r="L4" s="147">
        <v>18000.0</v>
      </c>
      <c r="M4" s="147">
        <f>19500+11550</f>
        <v>31050</v>
      </c>
      <c r="N4" s="53"/>
      <c r="O4" s="148"/>
      <c r="P4" s="136" t="s">
        <v>75</v>
      </c>
      <c r="Q4" s="149"/>
      <c r="R4" s="149">
        <v>6000.0</v>
      </c>
      <c r="S4" s="150"/>
      <c r="V4" s="132" t="s">
        <v>76</v>
      </c>
      <c r="W4" s="151"/>
      <c r="X4" s="152">
        <v>12500.0</v>
      </c>
      <c r="Y4" s="152">
        <v>12500.0</v>
      </c>
      <c r="Z4" s="142"/>
      <c r="AA4" s="30"/>
      <c r="AB4" s="144" t="s">
        <v>77</v>
      </c>
      <c r="AC4" s="153"/>
      <c r="AD4" s="153"/>
      <c r="AE4" s="144">
        <v>15663.13</v>
      </c>
      <c r="AF4" s="144"/>
    </row>
    <row r="5">
      <c r="A5" s="154" t="s">
        <v>78</v>
      </c>
      <c r="B5" s="155">
        <f>8724.04+8786.26</f>
        <v>17510.3</v>
      </c>
      <c r="C5" s="155">
        <f>8805.61+8763.27+8733.01</f>
        <v>26301.89</v>
      </c>
      <c r="D5" s="133">
        <f t="shared" si="1"/>
        <v>43812.19</v>
      </c>
      <c r="E5" s="34"/>
      <c r="F5" s="154" t="s">
        <v>78</v>
      </c>
      <c r="G5" s="155">
        <f>8589.71+8673.73</f>
        <v>17263.44</v>
      </c>
      <c r="H5" s="155">
        <f>8644.88+8623.14</f>
        <v>17268.02</v>
      </c>
      <c r="I5" s="133">
        <f t="shared" si="2"/>
        <v>34531.46</v>
      </c>
      <c r="J5" s="34"/>
      <c r="K5" s="154" t="s">
        <v>78</v>
      </c>
      <c r="L5" s="156">
        <f>8211.21+8252.58</f>
        <v>16463.79</v>
      </c>
      <c r="M5" s="156">
        <f>8295.77+8345.68</f>
        <v>16641.45</v>
      </c>
      <c r="N5" s="53"/>
      <c r="O5" s="148"/>
      <c r="P5" s="136" t="s">
        <v>79</v>
      </c>
      <c r="Q5" s="149">
        <v>18000.0</v>
      </c>
      <c r="R5" s="149">
        <v>24000.0</v>
      </c>
      <c r="S5" s="138"/>
      <c r="V5" s="132" t="s">
        <v>80</v>
      </c>
      <c r="W5" s="157"/>
      <c r="X5" s="152">
        <v>25000.0</v>
      </c>
      <c r="Y5" s="152"/>
      <c r="Z5" s="142"/>
      <c r="AA5" s="30"/>
      <c r="AB5" s="144" t="s">
        <v>81</v>
      </c>
      <c r="AC5" s="153"/>
      <c r="AD5" s="158">
        <v>22929.6</v>
      </c>
      <c r="AE5" s="144"/>
      <c r="AF5" s="144"/>
    </row>
    <row r="6">
      <c r="A6" s="159" t="s">
        <v>37</v>
      </c>
      <c r="B6" s="160">
        <f t="shared" ref="B6:D6" si="3">SUM(B3:B5)</f>
        <v>93354.5</v>
      </c>
      <c r="C6" s="160">
        <f t="shared" si="3"/>
        <v>78051.89</v>
      </c>
      <c r="D6" s="161">
        <f t="shared" si="3"/>
        <v>171406.39</v>
      </c>
      <c r="E6" s="40"/>
      <c r="F6" s="159" t="s">
        <v>37</v>
      </c>
      <c r="G6" s="160">
        <f t="shared" ref="G6:I6" si="4">SUM(G3:G5)</f>
        <v>61721.09</v>
      </c>
      <c r="H6" s="160">
        <f t="shared" si="4"/>
        <v>75442.05</v>
      </c>
      <c r="I6" s="161">
        <f t="shared" si="4"/>
        <v>137163.14</v>
      </c>
      <c r="J6" s="40"/>
      <c r="K6" s="159" t="s">
        <v>37</v>
      </c>
      <c r="L6" s="162">
        <f t="shared" ref="L6:M6" si="5">SUM(L3:L5)</f>
        <v>59665.23</v>
      </c>
      <c r="M6" s="162">
        <f t="shared" si="5"/>
        <v>72376.45</v>
      </c>
      <c r="N6" s="163">
        <f>SUM(L6:M6)</f>
        <v>132041.68</v>
      </c>
      <c r="O6" s="148"/>
      <c r="P6" s="136" t="s">
        <v>82</v>
      </c>
      <c r="Q6" s="137">
        <v>16204.01</v>
      </c>
      <c r="R6" s="149">
        <v>16083.64</v>
      </c>
      <c r="S6" s="150"/>
      <c r="V6" s="132" t="s">
        <v>83</v>
      </c>
      <c r="W6" s="30"/>
      <c r="X6" s="164">
        <v>6000.0</v>
      </c>
      <c r="Y6" s="152"/>
      <c r="Z6" s="165"/>
      <c r="AA6" s="30"/>
      <c r="AB6" s="144" t="s">
        <v>84</v>
      </c>
      <c r="AC6" s="153"/>
      <c r="AD6" s="158">
        <v>22929.6</v>
      </c>
      <c r="AE6" s="144"/>
      <c r="AF6" s="144"/>
    </row>
    <row r="7">
      <c r="B7" s="166"/>
      <c r="C7" s="166"/>
      <c r="D7" s="166"/>
      <c r="E7" s="166"/>
      <c r="G7" s="166"/>
      <c r="H7" s="166"/>
      <c r="I7" s="166"/>
      <c r="J7" s="166"/>
      <c r="K7" s="166"/>
      <c r="L7" s="166"/>
      <c r="M7" s="166"/>
      <c r="N7" s="166"/>
      <c r="O7" s="166"/>
      <c r="P7" s="167" t="s">
        <v>37</v>
      </c>
      <c r="Q7" s="168">
        <v>62653.01</v>
      </c>
      <c r="R7" s="168">
        <v>70079.64</v>
      </c>
      <c r="S7" s="169">
        <v>132732.65</v>
      </c>
      <c r="V7" s="159" t="s">
        <v>37</v>
      </c>
      <c r="W7" s="170">
        <f t="shared" ref="W7:Y7" si="6">SUM(W3:W6)</f>
        <v>0</v>
      </c>
      <c r="X7" s="171">
        <f t="shared" si="6"/>
        <v>67389.7</v>
      </c>
      <c r="Y7" s="172">
        <f t="shared" si="6"/>
        <v>33015</v>
      </c>
      <c r="Z7" s="173">
        <f>SUM(X7:Y7)</f>
        <v>100404.7</v>
      </c>
      <c r="AA7" s="30"/>
      <c r="AB7" s="170" t="s">
        <v>37</v>
      </c>
      <c r="AC7" s="170"/>
      <c r="AD7" s="174">
        <f>SUM(AD3:AD5)</f>
        <v>43756.47</v>
      </c>
      <c r="AE7" s="174">
        <f>SUM(AE3:AE6)</f>
        <v>37389.13</v>
      </c>
      <c r="AF7" s="175">
        <f>SUM(AD7:AE7)</f>
        <v>81145.6</v>
      </c>
    </row>
    <row r="8">
      <c r="W8" s="30"/>
      <c r="X8" s="30"/>
      <c r="Y8" s="30"/>
      <c r="Z8" s="30"/>
      <c r="AA8" s="30"/>
      <c r="AB8" s="30"/>
      <c r="AC8" s="30"/>
      <c r="AD8" s="30"/>
      <c r="AE8" s="30"/>
      <c r="AF8" s="30"/>
    </row>
    <row r="9">
      <c r="W9" s="30"/>
      <c r="X9" s="30"/>
      <c r="Y9" s="30"/>
      <c r="Z9" s="30"/>
      <c r="AA9" s="30"/>
      <c r="AB9" s="30"/>
      <c r="AC9" s="30"/>
      <c r="AD9" s="30"/>
      <c r="AE9" s="30"/>
      <c r="AF9" s="30"/>
    </row>
    <row r="10">
      <c r="W10" s="30"/>
      <c r="X10" s="30"/>
      <c r="Y10" s="30"/>
      <c r="Z10" s="30"/>
      <c r="AA10" s="30"/>
      <c r="AB10" s="30"/>
      <c r="AC10" s="30"/>
      <c r="AD10" s="30"/>
      <c r="AE10" s="30"/>
      <c r="AF10" s="30"/>
    </row>
    <row r="11">
      <c r="A11" s="120">
        <v>46054.0</v>
      </c>
      <c r="B11" s="42" t="s">
        <v>68</v>
      </c>
      <c r="C11" s="43" t="s">
        <v>69</v>
      </c>
      <c r="D11" s="46" t="s">
        <v>28</v>
      </c>
      <c r="E11" s="176"/>
      <c r="F11" s="120">
        <v>45689.0</v>
      </c>
      <c r="G11" s="42" t="s">
        <v>68</v>
      </c>
      <c r="H11" s="43" t="s">
        <v>69</v>
      </c>
      <c r="I11" s="46" t="s">
        <v>28</v>
      </c>
      <c r="J11" s="176"/>
      <c r="K11" s="122">
        <v>45323.0</v>
      </c>
      <c r="L11" s="42" t="s">
        <v>68</v>
      </c>
      <c r="M11" s="43" t="s">
        <v>69</v>
      </c>
      <c r="N11" s="46" t="s">
        <v>28</v>
      </c>
      <c r="O11" s="176"/>
      <c r="P11" s="122">
        <v>44927.0</v>
      </c>
      <c r="Q11" s="123" t="s">
        <v>68</v>
      </c>
      <c r="R11" s="124" t="s">
        <v>69</v>
      </c>
      <c r="S11" s="125" t="s">
        <v>28</v>
      </c>
      <c r="V11" s="126">
        <v>44593.0</v>
      </c>
      <c r="W11" s="177" t="s">
        <v>70</v>
      </c>
      <c r="X11" s="178" t="s">
        <v>68</v>
      </c>
      <c r="Y11" s="179" t="s">
        <v>69</v>
      </c>
      <c r="Z11" s="180" t="s">
        <v>28</v>
      </c>
      <c r="AA11" s="30"/>
      <c r="AB11" s="181">
        <v>44228.0</v>
      </c>
      <c r="AC11" s="177"/>
      <c r="AD11" s="182" t="s">
        <v>68</v>
      </c>
      <c r="AE11" s="183" t="s">
        <v>69</v>
      </c>
      <c r="AF11" s="184" t="s">
        <v>28</v>
      </c>
    </row>
    <row r="12">
      <c r="A12" s="132" t="s">
        <v>71</v>
      </c>
      <c r="B12" s="88">
        <v>27398.99</v>
      </c>
      <c r="C12" s="85"/>
      <c r="D12" s="133">
        <f t="shared" ref="D12:D14" si="7">SUM(B12:C12)</f>
        <v>27398.99</v>
      </c>
      <c r="E12" s="34"/>
      <c r="F12" s="132" t="s">
        <v>71</v>
      </c>
      <c r="G12" s="88">
        <v>24847.14</v>
      </c>
      <c r="H12" s="85">
        <v>26648.0</v>
      </c>
      <c r="I12" s="133">
        <f t="shared" ref="I12:I14" si="8">SUM(G12:H12)</f>
        <v>51495.14</v>
      </c>
      <c r="J12" s="34"/>
      <c r="K12" s="132" t="s">
        <v>72</v>
      </c>
      <c r="L12" s="85">
        <v>2251.0</v>
      </c>
      <c r="M12" s="85"/>
      <c r="N12" s="53"/>
      <c r="O12" s="34"/>
      <c r="P12" s="185" t="s">
        <v>72</v>
      </c>
      <c r="Q12" s="186">
        <v>23189.76</v>
      </c>
      <c r="R12" s="108">
        <v>24229.9</v>
      </c>
      <c r="S12" s="187">
        <f>SUM(Q12:R12)</f>
        <v>47419.66</v>
      </c>
      <c r="V12" s="132" t="s">
        <v>72</v>
      </c>
      <c r="W12" s="140">
        <v>200000.0</v>
      </c>
      <c r="X12" s="141">
        <v>24564.0</v>
      </c>
      <c r="Y12" s="141">
        <v>22487.11</v>
      </c>
      <c r="Z12" s="142"/>
      <c r="AA12" s="30"/>
      <c r="AB12" s="151" t="s">
        <v>73</v>
      </c>
      <c r="AC12" s="145"/>
      <c r="AD12" s="145">
        <v>14946.66</v>
      </c>
      <c r="AE12" s="145">
        <v>16825.53</v>
      </c>
      <c r="AF12" s="144"/>
    </row>
    <row r="13">
      <c r="A13" s="132" t="s">
        <v>74</v>
      </c>
      <c r="B13" s="146">
        <v>19500.0</v>
      </c>
      <c r="C13" s="146">
        <v>19500.0</v>
      </c>
      <c r="D13" s="133">
        <f t="shared" si="7"/>
        <v>39000</v>
      </c>
      <c r="E13" s="34"/>
      <c r="F13" s="132" t="s">
        <v>74</v>
      </c>
      <c r="G13" s="146">
        <v>19500.0</v>
      </c>
      <c r="H13" s="146">
        <v>19500.0</v>
      </c>
      <c r="I13" s="133">
        <f t="shared" si="8"/>
        <v>39000</v>
      </c>
      <c r="J13" s="34"/>
      <c r="K13" s="132" t="s">
        <v>74</v>
      </c>
      <c r="L13" s="147">
        <v>19500.0</v>
      </c>
      <c r="M13" s="147">
        <v>19500.0</v>
      </c>
      <c r="N13" s="53"/>
      <c r="O13" s="19"/>
      <c r="P13" s="188" t="s">
        <v>85</v>
      </c>
      <c r="Q13" s="189"/>
      <c r="R13" s="190"/>
      <c r="S13" s="191"/>
      <c r="V13" s="132" t="s">
        <v>79</v>
      </c>
      <c r="W13" s="151">
        <v>52000.0</v>
      </c>
      <c r="X13" s="152">
        <v>12500.0</v>
      </c>
      <c r="Y13" s="152">
        <v>12500.0</v>
      </c>
      <c r="Z13" s="142"/>
      <c r="AA13" s="30"/>
      <c r="AB13" s="151" t="s">
        <v>77</v>
      </c>
      <c r="AC13" s="153"/>
      <c r="AD13" s="145">
        <v>15663.13</v>
      </c>
      <c r="AE13" s="145">
        <v>15865.15</v>
      </c>
      <c r="AF13" s="144"/>
    </row>
    <row r="14">
      <c r="A14" s="154" t="s">
        <v>78</v>
      </c>
      <c r="B14" s="155">
        <f>8677.7+8581.97</f>
        <v>17259.67</v>
      </c>
      <c r="C14" s="155">
        <f>8625.35+8554.41</f>
        <v>17179.76</v>
      </c>
      <c r="D14" s="133">
        <f t="shared" si="7"/>
        <v>34439.43</v>
      </c>
      <c r="E14" s="34"/>
      <c r="F14" s="154" t="s">
        <v>78</v>
      </c>
      <c r="G14" s="155">
        <f>8637.63+8598.59</f>
        <v>17236.22</v>
      </c>
      <c r="H14" s="155">
        <f>8538.84+8583.31</f>
        <v>17122.15</v>
      </c>
      <c r="I14" s="133">
        <f t="shared" si="8"/>
        <v>34358.37</v>
      </c>
      <c r="J14" s="34"/>
      <c r="K14" s="154" t="s">
        <v>78</v>
      </c>
      <c r="L14" s="156">
        <f>8295.09+8290.77</f>
        <v>16585.86</v>
      </c>
      <c r="M14" s="156">
        <f>8291.26+8284.4</f>
        <v>16575.66</v>
      </c>
      <c r="N14" s="53"/>
      <c r="O14" s="34"/>
      <c r="P14" s="154" t="s">
        <v>74</v>
      </c>
      <c r="Q14" s="192">
        <v>18000.0</v>
      </c>
      <c r="R14" s="146">
        <v>18000.0</v>
      </c>
      <c r="S14" s="155">
        <f>SUM(Q14:R14)</f>
        <v>36000</v>
      </c>
      <c r="V14" s="132" t="s">
        <v>86</v>
      </c>
      <c r="W14" s="157"/>
      <c r="X14" s="158">
        <v>9987.65</v>
      </c>
      <c r="Y14" s="30"/>
      <c r="Z14" s="142"/>
      <c r="AA14" s="30"/>
      <c r="AB14" s="151" t="s">
        <v>81</v>
      </c>
      <c r="AC14" s="153"/>
      <c r="AD14" s="158"/>
      <c r="AE14" s="144"/>
      <c r="AF14" s="144"/>
    </row>
    <row r="15">
      <c r="A15" s="159" t="s">
        <v>37</v>
      </c>
      <c r="B15" s="160">
        <f t="shared" ref="B15:D15" si="9">SUM(B12:B14)</f>
        <v>64158.66</v>
      </c>
      <c r="C15" s="160">
        <f t="shared" si="9"/>
        <v>36679.76</v>
      </c>
      <c r="D15" s="161">
        <f t="shared" si="9"/>
        <v>100838.42</v>
      </c>
      <c r="E15" s="40"/>
      <c r="F15" s="159" t="s">
        <v>37</v>
      </c>
      <c r="G15" s="160">
        <f t="shared" ref="G15:I15" si="10">SUM(G12:G14)</f>
        <v>61583.36</v>
      </c>
      <c r="H15" s="160">
        <f t="shared" si="10"/>
        <v>63270.15</v>
      </c>
      <c r="I15" s="161">
        <f t="shared" si="10"/>
        <v>124853.51</v>
      </c>
      <c r="J15" s="40"/>
      <c r="K15" s="159" t="s">
        <v>37</v>
      </c>
      <c r="L15" s="162">
        <f t="shared" ref="L15:M15" si="11">SUM(L12:L14)</f>
        <v>38336.86</v>
      </c>
      <c r="M15" s="162">
        <f t="shared" si="11"/>
        <v>36075.66</v>
      </c>
      <c r="N15" s="163">
        <f>SUM(L15:M15)</f>
        <v>74412.52</v>
      </c>
      <c r="O15" s="34"/>
      <c r="P15" s="132" t="s">
        <v>78</v>
      </c>
      <c r="Q15" s="186">
        <f>8008.05+8045.97</f>
        <v>16054.02</v>
      </c>
      <c r="R15" s="193">
        <f>8167.87+8154.28</f>
        <v>16322.15</v>
      </c>
      <c r="S15" s="194">
        <f>Q15+R15</f>
        <v>32376.17</v>
      </c>
      <c r="V15" s="132" t="s">
        <v>82</v>
      </c>
      <c r="W15" s="30"/>
      <c r="X15" s="164">
        <v>6314.72</v>
      </c>
      <c r="Y15" s="152">
        <f>6314.72+7596.09</f>
        <v>13910.81</v>
      </c>
      <c r="Z15" s="165"/>
      <c r="AA15" s="30"/>
      <c r="AB15" s="151" t="s">
        <v>84</v>
      </c>
      <c r="AC15" s="153"/>
      <c r="AD15" s="158"/>
      <c r="AE15" s="144"/>
      <c r="AF15" s="144"/>
    </row>
    <row r="16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159" t="s">
        <v>37</v>
      </c>
      <c r="Q16" s="195">
        <f t="shared" ref="Q16:R16" si="12">SUM(Q12:Q15)</f>
        <v>57243.78</v>
      </c>
      <c r="R16" s="196">
        <f t="shared" si="12"/>
        <v>58552.05</v>
      </c>
      <c r="S16" s="161">
        <f>SUM(Q16:R16)</f>
        <v>115795.83</v>
      </c>
      <c r="V16" s="159" t="s">
        <v>37</v>
      </c>
      <c r="W16" s="170">
        <f t="shared" ref="W16:Y16" si="13">SUM(W12:W15)</f>
        <v>252000</v>
      </c>
      <c r="X16" s="171">
        <f t="shared" si="13"/>
        <v>53366.37</v>
      </c>
      <c r="Y16" s="172">
        <f t="shared" si="13"/>
        <v>48897.92</v>
      </c>
      <c r="Z16" s="173">
        <f>SUM(X16:Y16)</f>
        <v>102264.29</v>
      </c>
      <c r="AA16" s="30"/>
      <c r="AB16" s="197" t="s">
        <v>37</v>
      </c>
      <c r="AC16" s="170"/>
      <c r="AD16" s="174">
        <f>SUM(AD12:AD14)</f>
        <v>30609.79</v>
      </c>
      <c r="AE16" s="174">
        <f>SUM(AE12:AE15)</f>
        <v>32690.68</v>
      </c>
      <c r="AF16" s="175">
        <f>SUM(AD16:AE16)</f>
        <v>63300.47</v>
      </c>
    </row>
    <row r="17">
      <c r="W17" s="30"/>
      <c r="X17" s="30"/>
      <c r="Y17" s="30"/>
      <c r="Z17" s="30"/>
      <c r="AA17" s="30"/>
      <c r="AB17" s="30"/>
      <c r="AC17" s="30"/>
      <c r="AD17" s="30"/>
      <c r="AE17" s="30"/>
      <c r="AF17" s="30"/>
    </row>
    <row r="18">
      <c r="A18" s="120">
        <v>46082.0</v>
      </c>
      <c r="B18" s="42" t="s">
        <v>68</v>
      </c>
      <c r="C18" s="43" t="s">
        <v>69</v>
      </c>
      <c r="D18" s="46" t="s">
        <v>28</v>
      </c>
      <c r="E18" s="198"/>
      <c r="F18" s="120">
        <v>45717.0</v>
      </c>
      <c r="G18" s="42" t="s">
        <v>68</v>
      </c>
      <c r="H18" s="43" t="s">
        <v>69</v>
      </c>
      <c r="I18" s="46" t="s">
        <v>28</v>
      </c>
      <c r="J18" s="198"/>
      <c r="K18" s="120">
        <v>45352.0</v>
      </c>
      <c r="L18" s="42" t="s">
        <v>68</v>
      </c>
      <c r="M18" s="43" t="s">
        <v>69</v>
      </c>
      <c r="N18" s="46" t="s">
        <v>28</v>
      </c>
      <c r="O18" s="176"/>
      <c r="P18" s="122">
        <v>44958.0</v>
      </c>
      <c r="Q18" s="42" t="s">
        <v>68</v>
      </c>
      <c r="R18" s="43" t="s">
        <v>69</v>
      </c>
      <c r="S18" s="46" t="s">
        <v>28</v>
      </c>
      <c r="V18" s="126">
        <v>44621.0</v>
      </c>
      <c r="W18" s="177" t="s">
        <v>70</v>
      </c>
      <c r="X18" s="178" t="s">
        <v>68</v>
      </c>
      <c r="Y18" s="179" t="s">
        <v>69</v>
      </c>
      <c r="Z18" s="180" t="s">
        <v>28</v>
      </c>
      <c r="AA18" s="30"/>
      <c r="AB18" s="181">
        <v>44256.0</v>
      </c>
      <c r="AC18" s="177"/>
      <c r="AD18" s="182" t="s">
        <v>68</v>
      </c>
      <c r="AE18" s="199" t="s">
        <v>69</v>
      </c>
      <c r="AF18" s="184" t="s">
        <v>28</v>
      </c>
    </row>
    <row r="19">
      <c r="A19" s="132" t="s">
        <v>87</v>
      </c>
      <c r="B19" s="88">
        <v>27371.34</v>
      </c>
      <c r="C19" s="85">
        <f>100935.34-B19</f>
        <v>73564</v>
      </c>
      <c r="D19" s="133">
        <f t="shared" ref="D19:D21" si="14">SUM(B19:C19)</f>
        <v>100935.34</v>
      </c>
      <c r="E19" s="34"/>
      <c r="F19" s="132" t="s">
        <v>87</v>
      </c>
      <c r="G19" s="88">
        <v>26933.0</v>
      </c>
      <c r="H19" s="85">
        <v>23592.45</v>
      </c>
      <c r="I19" s="133">
        <f t="shared" ref="I19:I21" si="15">SUM(G19:H19)</f>
        <v>50525.45</v>
      </c>
      <c r="J19" s="34"/>
      <c r="K19" s="132" t="s">
        <v>71</v>
      </c>
      <c r="L19" s="85"/>
      <c r="M19" s="85">
        <v>23933.0</v>
      </c>
      <c r="N19" s="53"/>
      <c r="O19" s="34"/>
      <c r="P19" s="185" t="s">
        <v>72</v>
      </c>
      <c r="Q19" s="200">
        <v>29151.58</v>
      </c>
      <c r="R19" s="108"/>
      <c r="S19" s="187">
        <f>SUM(Q19:R19)</f>
        <v>29151.58</v>
      </c>
      <c r="V19" s="185" t="s">
        <v>72</v>
      </c>
      <c r="W19" s="201">
        <v>200000.0</v>
      </c>
      <c r="X19" s="202">
        <v>26169.22</v>
      </c>
      <c r="Y19" s="202">
        <v>22967.0</v>
      </c>
      <c r="Z19" s="203"/>
      <c r="AA19" s="30"/>
      <c r="AB19" s="144" t="s">
        <v>73</v>
      </c>
      <c r="AC19" s="144"/>
      <c r="AD19" s="204">
        <v>12467.2</v>
      </c>
      <c r="AE19" s="205"/>
      <c r="AF19" s="144"/>
    </row>
    <row r="20">
      <c r="A20" s="132" t="s">
        <v>74</v>
      </c>
      <c r="B20" s="146">
        <v>19500.0</v>
      </c>
      <c r="C20" s="146">
        <f>19500+13750</f>
        <v>33250</v>
      </c>
      <c r="D20" s="133">
        <f t="shared" si="14"/>
        <v>52750</v>
      </c>
      <c r="E20" s="34"/>
      <c r="F20" s="132" t="s">
        <v>74</v>
      </c>
      <c r="G20" s="146">
        <v>19500.0</v>
      </c>
      <c r="H20" s="146">
        <f>19500+13750</f>
        <v>33250</v>
      </c>
      <c r="I20" s="133">
        <f t="shared" si="15"/>
        <v>52750</v>
      </c>
      <c r="J20" s="34"/>
      <c r="K20" s="132" t="s">
        <v>74</v>
      </c>
      <c r="L20" s="147">
        <v>19500.0</v>
      </c>
      <c r="M20" s="147">
        <f>19500+16500</f>
        <v>36000</v>
      </c>
      <c r="N20" s="53"/>
      <c r="O20" s="19"/>
      <c r="P20" s="188" t="s">
        <v>85</v>
      </c>
      <c r="Q20" s="189"/>
      <c r="R20" s="190"/>
      <c r="S20" s="191"/>
      <c r="V20" s="188" t="s">
        <v>75</v>
      </c>
      <c r="W20" s="206"/>
      <c r="X20" s="206"/>
      <c r="Y20" s="207">
        <v>25000.0</v>
      </c>
      <c r="Z20" s="206"/>
      <c r="AA20" s="30"/>
      <c r="AB20" s="144" t="s">
        <v>77</v>
      </c>
      <c r="AC20" s="153"/>
      <c r="AD20" s="153">
        <v>15871.67</v>
      </c>
      <c r="AE20" s="205">
        <v>15816.27</v>
      </c>
      <c r="AF20" s="144"/>
    </row>
    <row r="21">
      <c r="A21" s="154" t="s">
        <v>78</v>
      </c>
      <c r="B21" s="155">
        <f>8790.11+8852.77</f>
        <v>17642.88</v>
      </c>
      <c r="C21" s="155">
        <f>8874.13+8984.04</f>
        <v>17858.17</v>
      </c>
      <c r="D21" s="133">
        <f t="shared" si="14"/>
        <v>35501.05</v>
      </c>
      <c r="E21" s="34"/>
      <c r="F21" s="154" t="s">
        <v>78</v>
      </c>
      <c r="G21" s="155">
        <f>8592.95+8489.43</f>
        <v>17082.38</v>
      </c>
      <c r="H21" s="155">
        <f>8486.64+8495.39+8508.73</f>
        <v>25490.76</v>
      </c>
      <c r="I21" s="133">
        <f t="shared" si="15"/>
        <v>42573.14</v>
      </c>
      <c r="J21" s="34"/>
      <c r="K21" s="154" t="s">
        <v>78</v>
      </c>
      <c r="L21" s="156">
        <f>8307.75+8231.33</f>
        <v>16539.08</v>
      </c>
      <c r="M21" s="156">
        <f>8233.46+8338.68+8320.03</f>
        <v>24892.17</v>
      </c>
      <c r="N21" s="53"/>
      <c r="O21" s="34"/>
      <c r="P21" s="154" t="s">
        <v>74</v>
      </c>
      <c r="Q21" s="192">
        <v>18000.0</v>
      </c>
      <c r="R21" s="146"/>
      <c r="S21" s="155">
        <f>SUM(Q21:R21)</f>
        <v>18000</v>
      </c>
      <c r="V21" s="154" t="s">
        <v>79</v>
      </c>
      <c r="W21" s="208"/>
      <c r="X21" s="209">
        <v>12500.0</v>
      </c>
      <c r="Y21" s="209">
        <v>12500.0</v>
      </c>
      <c r="Z21" s="210"/>
      <c r="AA21" s="30"/>
      <c r="AB21" s="144" t="s">
        <v>81</v>
      </c>
      <c r="AC21" s="153"/>
      <c r="AD21" s="142">
        <v>23195.0</v>
      </c>
      <c r="AE21" s="205"/>
      <c r="AF21" s="144"/>
    </row>
    <row r="22">
      <c r="A22" s="159" t="s">
        <v>37</v>
      </c>
      <c r="B22" s="160">
        <f t="shared" ref="B22:D22" si="16">SUM(B19:B21)</f>
        <v>64514.22</v>
      </c>
      <c r="C22" s="160">
        <f t="shared" si="16"/>
        <v>124672.17</v>
      </c>
      <c r="D22" s="161">
        <f t="shared" si="16"/>
        <v>189186.39</v>
      </c>
      <c r="E22" s="40"/>
      <c r="F22" s="159" t="s">
        <v>37</v>
      </c>
      <c r="G22" s="160">
        <f t="shared" ref="G22:I22" si="17">SUM(G19:G21)</f>
        <v>63515.38</v>
      </c>
      <c r="H22" s="160">
        <f t="shared" si="17"/>
        <v>82333.21</v>
      </c>
      <c r="I22" s="161">
        <f t="shared" si="17"/>
        <v>145848.59</v>
      </c>
      <c r="J22" s="40"/>
      <c r="K22" s="159" t="s">
        <v>37</v>
      </c>
      <c r="L22" s="162">
        <f t="shared" ref="L22:M22" si="18">SUM(L19:L21)</f>
        <v>36039.08</v>
      </c>
      <c r="M22" s="162">
        <f t="shared" si="18"/>
        <v>84825.17</v>
      </c>
      <c r="N22" s="163">
        <f>SUM(L22:M22)</f>
        <v>120864.25</v>
      </c>
      <c r="O22" s="34"/>
      <c r="P22" s="132" t="s">
        <v>78</v>
      </c>
      <c r="Q22" s="186">
        <v>8096.05</v>
      </c>
      <c r="R22" s="193"/>
      <c r="S22" s="194">
        <f>Q22+R22</f>
        <v>8096.05</v>
      </c>
      <c r="V22" s="132" t="s">
        <v>88</v>
      </c>
      <c r="W22" s="157"/>
      <c r="X22" s="158">
        <v>7000.0</v>
      </c>
      <c r="Y22" s="211">
        <v>6000.0</v>
      </c>
      <c r="Z22" s="142"/>
      <c r="AA22" s="30"/>
      <c r="AB22" s="144" t="s">
        <v>84</v>
      </c>
      <c r="AC22" s="153"/>
      <c r="AD22" s="142">
        <v>23195.0</v>
      </c>
      <c r="AE22" s="205"/>
      <c r="AF22" s="144"/>
    </row>
    <row r="23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159" t="s">
        <v>37</v>
      </c>
      <c r="Q23" s="195">
        <f t="shared" ref="Q23:R23" si="19">SUM(Q19:Q22)</f>
        <v>55247.63</v>
      </c>
      <c r="R23" s="196">
        <f t="shared" si="19"/>
        <v>0</v>
      </c>
      <c r="S23" s="161">
        <f>SUM(Q23:R23)</f>
        <v>55247.63</v>
      </c>
      <c r="V23" s="132" t="s">
        <v>82</v>
      </c>
      <c r="W23" s="30"/>
      <c r="X23" s="141">
        <f>7713.32+7744.41</f>
        <v>15457.73</v>
      </c>
      <c r="Y23" s="141">
        <f>7741.45+7713.32</f>
        <v>15454.77</v>
      </c>
      <c r="Z23" s="165"/>
      <c r="AA23" s="30"/>
      <c r="AB23" s="144" t="s">
        <v>76</v>
      </c>
      <c r="AC23" s="212"/>
      <c r="AD23" s="142"/>
      <c r="AE23" s="142">
        <v>12500.0</v>
      </c>
      <c r="AF23" s="213"/>
    </row>
    <row r="24">
      <c r="V24" s="159" t="s">
        <v>37</v>
      </c>
      <c r="W24" s="170">
        <f t="shared" ref="W24:Y24" si="20">SUM(W19:W23)</f>
        <v>200000</v>
      </c>
      <c r="X24" s="171">
        <f t="shared" si="20"/>
        <v>61126.95</v>
      </c>
      <c r="Y24" s="172">
        <f t="shared" si="20"/>
        <v>81921.77</v>
      </c>
      <c r="Z24" s="173">
        <f>SUM(X24:Y24)</f>
        <v>143048.72</v>
      </c>
      <c r="AA24" s="30"/>
      <c r="AB24" s="170" t="s">
        <v>37</v>
      </c>
      <c r="AC24" s="170"/>
      <c r="AD24" s="174">
        <f t="shared" ref="AD24:AE24" si="21">SUM(AD19:AD23)</f>
        <v>74728.87</v>
      </c>
      <c r="AE24" s="214">
        <f t="shared" si="21"/>
        <v>28316.27</v>
      </c>
      <c r="AF24" s="175">
        <f>SUM(AD24:AE24)</f>
        <v>103045.14</v>
      </c>
    </row>
    <row r="25">
      <c r="W25" s="30"/>
      <c r="X25" s="30"/>
      <c r="Y25" s="30"/>
      <c r="Z25" s="30"/>
      <c r="AA25" s="30"/>
      <c r="AB25" s="30"/>
      <c r="AC25" s="30"/>
      <c r="AD25" s="30"/>
      <c r="AE25" s="30"/>
      <c r="AF25" s="30"/>
    </row>
    <row r="26">
      <c r="W26" s="30"/>
      <c r="X26" s="30"/>
      <c r="Y26" s="30"/>
      <c r="Z26" s="30"/>
      <c r="AA26" s="30"/>
      <c r="AB26" s="30"/>
      <c r="AC26" s="30"/>
      <c r="AD26" s="30"/>
      <c r="AE26" s="30"/>
      <c r="AF26" s="30"/>
    </row>
    <row r="27">
      <c r="A27" s="120">
        <v>46114.0</v>
      </c>
      <c r="B27" s="42" t="s">
        <v>68</v>
      </c>
      <c r="C27" s="43" t="s">
        <v>69</v>
      </c>
      <c r="D27" s="46" t="s">
        <v>28</v>
      </c>
      <c r="E27" s="198"/>
      <c r="F27" s="120">
        <v>45749.0</v>
      </c>
      <c r="G27" s="42" t="s">
        <v>68</v>
      </c>
      <c r="H27" s="43" t="s">
        <v>69</v>
      </c>
      <c r="I27" s="46" t="s">
        <v>28</v>
      </c>
      <c r="J27" s="198"/>
      <c r="K27" s="120">
        <v>45383.0</v>
      </c>
      <c r="L27" s="42" t="s">
        <v>68</v>
      </c>
      <c r="M27" s="43" t="s">
        <v>69</v>
      </c>
      <c r="N27" s="46" t="s">
        <v>28</v>
      </c>
      <c r="O27" s="198"/>
      <c r="P27" s="126">
        <v>44986.0</v>
      </c>
      <c r="Q27" s="42" t="s">
        <v>68</v>
      </c>
      <c r="R27" s="43" t="s">
        <v>69</v>
      </c>
      <c r="S27" s="46" t="s">
        <v>28</v>
      </c>
      <c r="V27" s="126">
        <v>44652.0</v>
      </c>
      <c r="W27" s="177" t="s">
        <v>70</v>
      </c>
      <c r="X27" s="178" t="s">
        <v>68</v>
      </c>
      <c r="Y27" s="179" t="s">
        <v>69</v>
      </c>
      <c r="Z27" s="180" t="s">
        <v>28</v>
      </c>
      <c r="AA27" s="30"/>
      <c r="AB27" s="181">
        <v>44287.0</v>
      </c>
      <c r="AC27" s="177"/>
      <c r="AD27" s="182" t="s">
        <v>68</v>
      </c>
      <c r="AE27" s="199" t="s">
        <v>69</v>
      </c>
      <c r="AF27" s="184" t="s">
        <v>28</v>
      </c>
    </row>
    <row r="28">
      <c r="A28" s="132" t="s">
        <v>87</v>
      </c>
      <c r="B28" s="88">
        <v>28192.71</v>
      </c>
      <c r="C28" s="85"/>
      <c r="D28" s="133">
        <f t="shared" ref="D28:D30" si="22">SUM(B28:C28)</f>
        <v>28192.71</v>
      </c>
      <c r="E28" s="34"/>
      <c r="F28" s="132" t="s">
        <v>87</v>
      </c>
      <c r="G28" s="88">
        <v>26867.0</v>
      </c>
      <c r="H28" s="85">
        <v>26533.38</v>
      </c>
      <c r="I28" s="133">
        <f t="shared" ref="I28:I30" si="23">SUM(G28:H28)</f>
        <v>53400.38</v>
      </c>
      <c r="J28" s="34"/>
      <c r="K28" s="132" t="s">
        <v>71</v>
      </c>
      <c r="L28" s="85">
        <v>23968.17</v>
      </c>
      <c r="M28" s="85">
        <v>24236.95</v>
      </c>
      <c r="N28" s="53"/>
      <c r="O28" s="34"/>
      <c r="P28" s="185" t="s">
        <v>72</v>
      </c>
      <c r="Q28" s="200">
        <v>29151.16</v>
      </c>
      <c r="R28" s="108"/>
      <c r="S28" s="187"/>
      <c r="V28" s="185" t="s">
        <v>72</v>
      </c>
      <c r="W28" s="201">
        <v>200000.0</v>
      </c>
      <c r="X28" s="215">
        <v>24893.25</v>
      </c>
      <c r="Y28" s="215">
        <v>23013.0</v>
      </c>
      <c r="Z28" s="203"/>
      <c r="AA28" s="30"/>
      <c r="AB28" s="144" t="s">
        <v>73</v>
      </c>
      <c r="AC28" s="142"/>
      <c r="AD28" s="142">
        <v>20753.28</v>
      </c>
      <c r="AE28" s="142">
        <v>17093.12</v>
      </c>
      <c r="AF28" s="142"/>
    </row>
    <row r="29">
      <c r="A29" s="132" t="s">
        <v>74</v>
      </c>
      <c r="B29" s="146">
        <v>19500.0</v>
      </c>
      <c r="C29" s="146">
        <v>19500.0</v>
      </c>
      <c r="D29" s="133">
        <f t="shared" si="22"/>
        <v>39000</v>
      </c>
      <c r="E29" s="34"/>
      <c r="F29" s="132" t="s">
        <v>74</v>
      </c>
      <c r="G29" s="146">
        <v>19500.0</v>
      </c>
      <c r="H29" s="146">
        <v>19500.0</v>
      </c>
      <c r="I29" s="133">
        <f t="shared" si="23"/>
        <v>39000</v>
      </c>
      <c r="J29" s="34"/>
      <c r="K29" s="132" t="s">
        <v>74</v>
      </c>
      <c r="L29" s="147">
        <v>19500.0</v>
      </c>
      <c r="M29" s="147">
        <v>19500.0</v>
      </c>
      <c r="N29" s="53"/>
      <c r="O29" s="19"/>
      <c r="P29" s="188" t="s">
        <v>85</v>
      </c>
      <c r="Q29" s="189"/>
      <c r="R29" s="190"/>
      <c r="S29" s="191"/>
      <c r="V29" s="188" t="s">
        <v>75</v>
      </c>
      <c r="W29" s="206"/>
      <c r="X29" s="216"/>
      <c r="Y29" s="217"/>
      <c r="Z29" s="206"/>
      <c r="AA29" s="30"/>
      <c r="AB29" s="144" t="s">
        <v>77</v>
      </c>
      <c r="AC29" s="153"/>
      <c r="AD29" s="153">
        <v>15842.34</v>
      </c>
      <c r="AE29" s="153">
        <v>15760.88</v>
      </c>
      <c r="AF29" s="142"/>
    </row>
    <row r="30">
      <c r="A30" s="154" t="s">
        <v>78</v>
      </c>
      <c r="B30" s="155">
        <f>8932.57+8892.45</f>
        <v>17825.02</v>
      </c>
      <c r="C30" s="155">
        <f>8903.2+8999.61</f>
        <v>17902.81</v>
      </c>
      <c r="D30" s="133">
        <f t="shared" si="22"/>
        <v>35727.83</v>
      </c>
      <c r="E30" s="34"/>
      <c r="F30" s="154" t="s">
        <v>78</v>
      </c>
      <c r="G30" s="155">
        <f>8494.64+8446.92</f>
        <v>16941.56</v>
      </c>
      <c r="H30" s="155">
        <f>8413.56+8339.12</f>
        <v>16752.68</v>
      </c>
      <c r="I30" s="133">
        <f t="shared" si="23"/>
        <v>33694.24</v>
      </c>
      <c r="J30" s="34"/>
      <c r="K30" s="154" t="s">
        <v>78</v>
      </c>
      <c r="L30" s="156">
        <f>8379.15+8395.8</f>
        <v>16774.95</v>
      </c>
      <c r="M30" s="156">
        <f>8517.18+8550.12</f>
        <v>17067.3</v>
      </c>
      <c r="N30" s="53"/>
      <c r="O30" s="34"/>
      <c r="P30" s="154" t="s">
        <v>74</v>
      </c>
      <c r="Q30" s="192">
        <v>18000.0</v>
      </c>
      <c r="R30" s="146">
        <f>6000+18000</f>
        <v>24000</v>
      </c>
      <c r="S30" s="155"/>
      <c r="V30" s="154" t="s">
        <v>79</v>
      </c>
      <c r="W30" s="208"/>
      <c r="X30" s="218">
        <v>12500.0</v>
      </c>
      <c r="Y30" s="218">
        <v>12500.0</v>
      </c>
      <c r="Z30" s="210"/>
      <c r="AA30" s="30"/>
      <c r="AB30" s="144" t="s">
        <v>83</v>
      </c>
      <c r="AC30" s="153"/>
      <c r="AD30" s="219"/>
      <c r="AE30" s="220"/>
      <c r="AF30" s="142"/>
    </row>
    <row r="31">
      <c r="A31" s="159" t="s">
        <v>37</v>
      </c>
      <c r="B31" s="160">
        <f t="shared" ref="B31:D31" si="24">SUM(B28:B30)</f>
        <v>65517.73</v>
      </c>
      <c r="C31" s="160">
        <f t="shared" si="24"/>
        <v>37402.81</v>
      </c>
      <c r="D31" s="161">
        <f t="shared" si="24"/>
        <v>102920.54</v>
      </c>
      <c r="E31" s="40"/>
      <c r="F31" s="159" t="s">
        <v>37</v>
      </c>
      <c r="G31" s="160">
        <f t="shared" ref="G31:I31" si="25">SUM(G28:G30)</f>
        <v>63308.56</v>
      </c>
      <c r="H31" s="160">
        <f t="shared" si="25"/>
        <v>62786.06</v>
      </c>
      <c r="I31" s="161">
        <f t="shared" si="25"/>
        <v>126094.62</v>
      </c>
      <c r="J31" s="40"/>
      <c r="K31" s="159" t="s">
        <v>37</v>
      </c>
      <c r="L31" s="162">
        <f>L28+L29+L30</f>
        <v>60243.12</v>
      </c>
      <c r="M31" s="162">
        <f>SUM(M28:M30)</f>
        <v>60804.25</v>
      </c>
      <c r="N31" s="163">
        <f>SUM(L31:M31)</f>
        <v>121047.37</v>
      </c>
      <c r="O31" s="34"/>
      <c r="P31" s="132" t="s">
        <v>78</v>
      </c>
      <c r="Q31" s="186">
        <f>8096.05+8154.28</f>
        <v>16250.33</v>
      </c>
      <c r="R31" s="193">
        <f>8094.02+8088.77+8014.36</f>
        <v>24197.15</v>
      </c>
      <c r="V31" s="132" t="s">
        <v>88</v>
      </c>
      <c r="W31" s="157"/>
      <c r="X31" s="221">
        <v>6365.0</v>
      </c>
      <c r="Y31" s="222"/>
      <c r="Z31" s="142"/>
      <c r="AA31" s="30"/>
      <c r="AB31" s="144" t="s">
        <v>80</v>
      </c>
      <c r="AC31" s="153"/>
      <c r="AD31" s="223"/>
      <c r="AE31" s="220"/>
      <c r="AF31" s="142"/>
    </row>
    <row r="3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159" t="s">
        <v>37</v>
      </c>
      <c r="Q32" s="195">
        <f t="shared" ref="Q32:R32" si="26">SUM(Q28:Q31)</f>
        <v>63401.49</v>
      </c>
      <c r="R32" s="196">
        <f t="shared" si="26"/>
        <v>48197.15</v>
      </c>
      <c r="S32" s="161">
        <f>SUM(Q32:R32)</f>
        <v>111598.64</v>
      </c>
      <c r="V32" s="132" t="s">
        <v>82</v>
      </c>
      <c r="W32" s="30"/>
      <c r="X32" s="221">
        <v>15200.0</v>
      </c>
      <c r="Y32" s="224">
        <f>4613.84+7747.37</f>
        <v>12361.21</v>
      </c>
      <c r="Z32" s="165"/>
      <c r="AA32" s="30"/>
      <c r="AB32" s="144" t="s">
        <v>76</v>
      </c>
      <c r="AC32" s="225"/>
      <c r="AD32" s="142">
        <v>12500.0</v>
      </c>
      <c r="AE32" s="142">
        <v>12500.0</v>
      </c>
      <c r="AF32" s="165"/>
    </row>
    <row r="33">
      <c r="V33" s="159" t="s">
        <v>37</v>
      </c>
      <c r="W33" s="170">
        <f t="shared" ref="W33:Y33" si="27">SUM(W28:W32)</f>
        <v>200000</v>
      </c>
      <c r="X33" s="171">
        <f t="shared" si="27"/>
        <v>58958.25</v>
      </c>
      <c r="Y33" s="172">
        <f t="shared" si="27"/>
        <v>47874.21</v>
      </c>
      <c r="Z33" s="173">
        <f>SUM(X33:Y33)</f>
        <v>106832.46</v>
      </c>
      <c r="AA33" s="30"/>
      <c r="AB33" s="170" t="s">
        <v>37</v>
      </c>
      <c r="AC33" s="170">
        <f>SUM(AC28:AC29)</f>
        <v>0</v>
      </c>
      <c r="AD33" s="174">
        <f t="shared" ref="AD33:AE33" si="28">SUM(AD28:AD32)</f>
        <v>49095.62</v>
      </c>
      <c r="AE33" s="214">
        <f t="shared" si="28"/>
        <v>45354</v>
      </c>
      <c r="AF33" s="226">
        <f>SUM(AD33:AE33)</f>
        <v>94449.62</v>
      </c>
    </row>
    <row r="34">
      <c r="W34" s="30"/>
      <c r="X34" s="30"/>
      <c r="Y34" s="30"/>
      <c r="Z34" s="30"/>
      <c r="AA34" s="30"/>
      <c r="AB34" s="30"/>
      <c r="AC34" s="30"/>
      <c r="AD34" s="30"/>
      <c r="AE34" s="30"/>
      <c r="AF34" s="30"/>
    </row>
    <row r="35">
      <c r="W35" s="30"/>
      <c r="X35" s="30"/>
      <c r="Y35" s="30"/>
      <c r="Z35" s="30"/>
      <c r="AA35" s="30"/>
      <c r="AB35" s="30"/>
      <c r="AC35" s="30"/>
      <c r="AD35" s="30"/>
      <c r="AE35" s="30"/>
      <c r="AF35" s="30"/>
    </row>
    <row r="36">
      <c r="A36" s="120">
        <v>45778.0</v>
      </c>
      <c r="B36" s="42" t="s">
        <v>68</v>
      </c>
      <c r="C36" s="43" t="s">
        <v>69</v>
      </c>
      <c r="D36" s="46" t="s">
        <v>28</v>
      </c>
      <c r="E36" s="198"/>
      <c r="F36" s="120">
        <v>45778.0</v>
      </c>
      <c r="G36" s="42" t="s">
        <v>68</v>
      </c>
      <c r="H36" s="43" t="s">
        <v>69</v>
      </c>
      <c r="I36" s="46" t="s">
        <v>28</v>
      </c>
      <c r="J36" s="198"/>
      <c r="K36" s="120">
        <v>45413.0</v>
      </c>
      <c r="L36" s="42" t="s">
        <v>68</v>
      </c>
      <c r="M36" s="43" t="s">
        <v>69</v>
      </c>
      <c r="N36" s="46" t="s">
        <v>28</v>
      </c>
      <c r="O36" s="198"/>
      <c r="P36" s="126">
        <v>45017.0</v>
      </c>
      <c r="Q36" s="42" t="s">
        <v>68</v>
      </c>
      <c r="R36" s="43" t="s">
        <v>69</v>
      </c>
      <c r="S36" s="46" t="s">
        <v>28</v>
      </c>
      <c r="V36" s="126">
        <v>44682.0</v>
      </c>
      <c r="W36" s="177" t="s">
        <v>70</v>
      </c>
      <c r="X36" s="178" t="s">
        <v>68</v>
      </c>
      <c r="Y36" s="179" t="s">
        <v>69</v>
      </c>
      <c r="Z36" s="180" t="s">
        <v>28</v>
      </c>
      <c r="AA36" s="30"/>
      <c r="AB36" s="181">
        <v>44317.0</v>
      </c>
      <c r="AC36" s="177"/>
      <c r="AD36" s="182" t="s">
        <v>68</v>
      </c>
      <c r="AE36" s="199" t="s">
        <v>69</v>
      </c>
      <c r="AF36" s="184" t="s">
        <v>28</v>
      </c>
    </row>
    <row r="37">
      <c r="A37" s="132" t="s">
        <v>87</v>
      </c>
      <c r="B37" s="88"/>
      <c r="C37" s="85"/>
      <c r="D37" s="133"/>
      <c r="E37" s="34"/>
      <c r="F37" s="132" t="s">
        <v>87</v>
      </c>
      <c r="G37" s="88">
        <v>25950.0</v>
      </c>
      <c r="H37" s="85">
        <v>26151.0</v>
      </c>
      <c r="I37" s="133">
        <f t="shared" ref="I37:I39" si="29">SUM(G37:H37)</f>
        <v>52101</v>
      </c>
      <c r="J37" s="34"/>
      <c r="K37" s="132" t="s">
        <v>71</v>
      </c>
      <c r="L37" s="85">
        <v>24506.7</v>
      </c>
      <c r="M37" s="85">
        <v>24585.3</v>
      </c>
      <c r="N37" s="53"/>
      <c r="O37" s="34"/>
      <c r="P37" s="185" t="s">
        <v>72</v>
      </c>
      <c r="Q37" s="227">
        <v>24000.0</v>
      </c>
      <c r="R37" s="108">
        <v>24048.0</v>
      </c>
      <c r="S37" s="187"/>
      <c r="V37" s="185" t="s">
        <v>72</v>
      </c>
      <c r="W37" s="201">
        <v>0.0</v>
      </c>
      <c r="X37" s="215">
        <v>23173.5</v>
      </c>
      <c r="Y37" s="215">
        <v>25094.0</v>
      </c>
      <c r="Z37" s="203"/>
      <c r="AA37" s="30"/>
      <c r="AB37" s="144" t="s">
        <v>73</v>
      </c>
      <c r="AC37" s="142"/>
      <c r="AD37" s="142">
        <v>21376.76</v>
      </c>
      <c r="AE37" s="142"/>
      <c r="AF37" s="142"/>
    </row>
    <row r="38">
      <c r="A38" s="132" t="s">
        <v>74</v>
      </c>
      <c r="B38" s="146"/>
      <c r="C38" s="146"/>
      <c r="D38" s="133"/>
      <c r="E38" s="34"/>
      <c r="F38" s="132" t="s">
        <v>74</v>
      </c>
      <c r="G38" s="146">
        <v>19500.0</v>
      </c>
      <c r="H38" s="146">
        <f>19500+13750</f>
        <v>33250</v>
      </c>
      <c r="I38" s="133">
        <f t="shared" si="29"/>
        <v>52750</v>
      </c>
      <c r="J38" s="34"/>
      <c r="K38" s="132" t="s">
        <v>74</v>
      </c>
      <c r="L38" s="147">
        <v>19500.0</v>
      </c>
      <c r="M38" s="147">
        <v>36000.0</v>
      </c>
      <c r="N38" s="53"/>
      <c r="O38" s="19"/>
      <c r="P38" s="188" t="s">
        <v>85</v>
      </c>
      <c r="Q38" s="189"/>
      <c r="R38" s="190"/>
      <c r="S38" s="191"/>
      <c r="V38" s="188" t="s">
        <v>75</v>
      </c>
      <c r="W38" s="206"/>
      <c r="X38" s="216"/>
      <c r="Y38" s="217">
        <v>25000.0</v>
      </c>
      <c r="Z38" s="206"/>
      <c r="AA38" s="30"/>
      <c r="AB38" s="144" t="s">
        <v>77</v>
      </c>
      <c r="AC38" s="153"/>
      <c r="AD38" s="153">
        <v>15664.76</v>
      </c>
      <c r="AE38" s="153">
        <v>15610.99</v>
      </c>
      <c r="AF38" s="142"/>
    </row>
    <row r="39">
      <c r="A39" s="154" t="s">
        <v>78</v>
      </c>
      <c r="B39" s="155"/>
      <c r="C39" s="155"/>
      <c r="D39" s="133"/>
      <c r="E39" s="34"/>
      <c r="F39" s="154" t="s">
        <v>78</v>
      </c>
      <c r="G39" s="155">
        <f>8248.11+8211.19</f>
        <v>16459.3</v>
      </c>
      <c r="H39" s="155">
        <f>8274.91+8195.57+8275.51</f>
        <v>24745.99</v>
      </c>
      <c r="I39" s="133">
        <f t="shared" si="29"/>
        <v>41205.29</v>
      </c>
      <c r="J39" s="34"/>
      <c r="K39" s="154" t="s">
        <v>78</v>
      </c>
      <c r="L39" s="156">
        <v>16994.26</v>
      </c>
      <c r="M39" s="156">
        <v>17172.480000000003</v>
      </c>
      <c r="N39" s="53"/>
      <c r="O39" s="34"/>
      <c r="P39" s="154" t="s">
        <v>74</v>
      </c>
      <c r="Q39" s="192">
        <v>18000.0</v>
      </c>
      <c r="R39" s="146">
        <v>18000.0</v>
      </c>
      <c r="S39" s="155"/>
      <c r="V39" s="154" t="s">
        <v>79</v>
      </c>
      <c r="W39" s="208"/>
      <c r="X39" s="218">
        <v>12500.0</v>
      </c>
      <c r="Y39" s="218">
        <v>12500.0</v>
      </c>
      <c r="Z39" s="210"/>
      <c r="AA39" s="30"/>
      <c r="AB39" s="144" t="s">
        <v>83</v>
      </c>
      <c r="AC39" s="153"/>
      <c r="AD39" s="142">
        <v>12500.0</v>
      </c>
      <c r="AE39" s="220"/>
      <c r="AF39" s="142"/>
    </row>
    <row r="40">
      <c r="A40" s="159" t="s">
        <v>37</v>
      </c>
      <c r="B40" s="160">
        <f t="shared" ref="B40:D40" si="30">SUM(B37:B39)</f>
        <v>0</v>
      </c>
      <c r="C40" s="160">
        <f t="shared" si="30"/>
        <v>0</v>
      </c>
      <c r="D40" s="161">
        <f t="shared" si="30"/>
        <v>0</v>
      </c>
      <c r="E40" s="40"/>
      <c r="F40" s="159" t="s">
        <v>37</v>
      </c>
      <c r="G40" s="160">
        <f t="shared" ref="G40:I40" si="31">SUM(G37:G39)</f>
        <v>61909.3</v>
      </c>
      <c r="H40" s="160">
        <f t="shared" si="31"/>
        <v>84146.99</v>
      </c>
      <c r="I40" s="161">
        <f t="shared" si="31"/>
        <v>146056.29</v>
      </c>
      <c r="J40" s="40"/>
      <c r="K40" s="159" t="s">
        <v>37</v>
      </c>
      <c r="L40" s="162">
        <v>61000.95999999999</v>
      </c>
      <c r="M40" s="162">
        <v>77757.78</v>
      </c>
      <c r="N40" s="163">
        <v>138758.74</v>
      </c>
      <c r="O40" s="34"/>
      <c r="P40" s="132" t="s">
        <v>78</v>
      </c>
      <c r="Q40" s="186">
        <f>8061.62+8060.67</f>
        <v>16122.29</v>
      </c>
      <c r="R40" s="193">
        <f>8171.14+8251.5+8184.95</f>
        <v>24607.59</v>
      </c>
      <c r="S40" s="155"/>
      <c r="V40" s="132" t="s">
        <v>88</v>
      </c>
      <c r="W40" s="157"/>
      <c r="X40" s="221"/>
      <c r="Y40" s="222">
        <v>6000.0</v>
      </c>
      <c r="Z40" s="142"/>
      <c r="AA40" s="30"/>
      <c r="AB40" s="144" t="s">
        <v>80</v>
      </c>
      <c r="AC40" s="153"/>
      <c r="AD40" s="27">
        <v>25000.0</v>
      </c>
      <c r="AE40" s="220"/>
      <c r="AF40" s="142"/>
    </row>
    <row r="4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159" t="s">
        <v>37</v>
      </c>
      <c r="Q41" s="195">
        <f t="shared" ref="Q41:R41" si="32">SUM(Q37:Q40)</f>
        <v>58122.29</v>
      </c>
      <c r="R41" s="196">
        <f t="shared" si="32"/>
        <v>66655.59</v>
      </c>
      <c r="S41" s="161">
        <f>SUM(Q41:R41)</f>
        <v>124777.88</v>
      </c>
      <c r="V41" s="132" t="s">
        <v>82</v>
      </c>
      <c r="W41" s="30"/>
      <c r="X41" s="221">
        <f>7759.21+7753.29</f>
        <v>15512.5</v>
      </c>
      <c r="Y41" s="224">
        <f>7728.12+7732.56</f>
        <v>15460.68</v>
      </c>
      <c r="Z41" s="165"/>
      <c r="AA41" s="30"/>
      <c r="AB41" s="144" t="s">
        <v>76</v>
      </c>
      <c r="AC41" s="225"/>
      <c r="AD41" s="142">
        <v>12500.0</v>
      </c>
      <c r="AE41" s="142">
        <v>12500.0</v>
      </c>
      <c r="AF41" s="165"/>
    </row>
    <row r="42">
      <c r="V42" s="159" t="s">
        <v>37</v>
      </c>
      <c r="W42" s="170">
        <f t="shared" ref="W42:Y42" si="33">SUM(W37:W41)</f>
        <v>0</v>
      </c>
      <c r="X42" s="171">
        <f t="shared" si="33"/>
        <v>51186</v>
      </c>
      <c r="Y42" s="172">
        <f t="shared" si="33"/>
        <v>84054.68</v>
      </c>
      <c r="Z42" s="173">
        <f>SUM(X42:Y42)</f>
        <v>135240.68</v>
      </c>
      <c r="AA42" s="30"/>
      <c r="AB42" s="170" t="s">
        <v>37</v>
      </c>
      <c r="AC42" s="170">
        <f>SUM(AC37:AC38)</f>
        <v>0</v>
      </c>
      <c r="AD42" s="174">
        <f t="shared" ref="AD42:AE42" si="34">SUM(AD37:AD41)</f>
        <v>87041.52</v>
      </c>
      <c r="AE42" s="214">
        <f t="shared" si="34"/>
        <v>28110.99</v>
      </c>
      <c r="AF42" s="226">
        <f>SUM(AD42:AE42)</f>
        <v>115152.51</v>
      </c>
    </row>
    <row r="43"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>
      <c r="W44" s="30"/>
      <c r="X44" s="30"/>
      <c r="Y44" s="30"/>
      <c r="Z44" s="30"/>
      <c r="AA44" s="30"/>
      <c r="AB44" s="30"/>
      <c r="AC44" s="30"/>
      <c r="AD44" s="30"/>
      <c r="AE44" s="30"/>
      <c r="AF44" s="30"/>
    </row>
    <row r="45">
      <c r="A45" s="120">
        <v>45809.0</v>
      </c>
      <c r="B45" s="42" t="s">
        <v>68</v>
      </c>
      <c r="C45" s="43" t="s">
        <v>69</v>
      </c>
      <c r="D45" s="46" t="s">
        <v>28</v>
      </c>
      <c r="E45" s="198"/>
      <c r="F45" s="120">
        <v>45809.0</v>
      </c>
      <c r="G45" s="42" t="s">
        <v>68</v>
      </c>
      <c r="H45" s="43" t="s">
        <v>69</v>
      </c>
      <c r="I45" s="46" t="s">
        <v>28</v>
      </c>
      <c r="J45" s="198"/>
      <c r="K45" s="120">
        <v>45444.0</v>
      </c>
      <c r="L45" s="42" t="s">
        <v>68</v>
      </c>
      <c r="M45" s="43" t="s">
        <v>69</v>
      </c>
      <c r="N45" s="46" t="s">
        <v>28</v>
      </c>
      <c r="O45" s="198"/>
      <c r="P45" s="126">
        <v>45047.0</v>
      </c>
      <c r="Q45" s="42" t="s">
        <v>68</v>
      </c>
      <c r="R45" s="43" t="s">
        <v>69</v>
      </c>
      <c r="S45" s="46" t="s">
        <v>28</v>
      </c>
      <c r="V45" s="126">
        <v>44713.0</v>
      </c>
      <c r="W45" s="177" t="s">
        <v>70</v>
      </c>
      <c r="X45" s="178" t="s">
        <v>68</v>
      </c>
      <c r="Y45" s="179" t="s">
        <v>69</v>
      </c>
      <c r="Z45" s="180" t="s">
        <v>28</v>
      </c>
      <c r="AA45" s="30"/>
      <c r="AB45" s="181">
        <v>44348.0</v>
      </c>
      <c r="AC45" s="177"/>
      <c r="AD45" s="182" t="s">
        <v>68</v>
      </c>
      <c r="AE45" s="199" t="s">
        <v>69</v>
      </c>
      <c r="AF45" s="184" t="s">
        <v>28</v>
      </c>
    </row>
    <row r="46">
      <c r="A46" s="132" t="s">
        <v>87</v>
      </c>
      <c r="B46" s="88"/>
      <c r="C46" s="85"/>
      <c r="D46" s="133"/>
      <c r="E46" s="34"/>
      <c r="F46" s="132" t="s">
        <v>87</v>
      </c>
      <c r="G46" s="88">
        <v>26163.0</v>
      </c>
      <c r="H46" s="85">
        <v>26369.7</v>
      </c>
      <c r="I46" s="133">
        <f t="shared" ref="I46:I48" si="35">SUM(G46:H46)</f>
        <v>52532.7</v>
      </c>
      <c r="J46" s="34"/>
      <c r="K46" s="132" t="s">
        <v>71</v>
      </c>
      <c r="L46" s="227">
        <v>24991.0</v>
      </c>
      <c r="M46" s="85">
        <f>37385+12514</f>
        <v>49899</v>
      </c>
      <c r="N46" s="53">
        <f t="shared" ref="N46:N48" si="36">L46+M46</f>
        <v>74890</v>
      </c>
      <c r="O46" s="34"/>
      <c r="P46" s="185" t="s">
        <v>72</v>
      </c>
      <c r="Q46" s="85"/>
      <c r="R46" s="85">
        <v>74923.3</v>
      </c>
      <c r="S46" s="85"/>
      <c r="V46" s="185" t="s">
        <v>72</v>
      </c>
      <c r="W46" s="201">
        <v>0.0</v>
      </c>
      <c r="X46" s="158">
        <v>23233.97</v>
      </c>
      <c r="Y46" s="215">
        <v>23703.0</v>
      </c>
      <c r="Z46" s="203"/>
      <c r="AA46" s="30"/>
      <c r="AB46" s="144" t="s">
        <v>73</v>
      </c>
      <c r="AC46" s="142"/>
      <c r="AD46" s="142">
        <v>20026.24</v>
      </c>
      <c r="AE46" s="142">
        <v>18510.6</v>
      </c>
      <c r="AF46" s="142"/>
    </row>
    <row r="47">
      <c r="A47" s="132" t="s">
        <v>74</v>
      </c>
      <c r="B47" s="146"/>
      <c r="C47" s="146"/>
      <c r="D47" s="133"/>
      <c r="E47" s="34"/>
      <c r="F47" s="132" t="s">
        <v>74</v>
      </c>
      <c r="G47" s="146">
        <v>19500.0</v>
      </c>
      <c r="H47" s="146">
        <v>19500.0</v>
      </c>
      <c r="I47" s="133">
        <f t="shared" si="35"/>
        <v>39000</v>
      </c>
      <c r="J47" s="34"/>
      <c r="K47" s="132" t="s">
        <v>74</v>
      </c>
      <c r="L47" s="228">
        <v>19500.0</v>
      </c>
      <c r="M47" s="147">
        <v>19500.0</v>
      </c>
      <c r="N47" s="53">
        <f t="shared" si="36"/>
        <v>39000</v>
      </c>
      <c r="O47" s="34"/>
      <c r="P47" s="154" t="s">
        <v>74</v>
      </c>
      <c r="Q47" s="192"/>
      <c r="R47" s="192">
        <v>45911.0</v>
      </c>
      <c r="S47" s="146"/>
      <c r="V47" s="188" t="s">
        <v>75</v>
      </c>
      <c r="W47" s="206"/>
      <c r="X47" s="216"/>
      <c r="Y47" s="217">
        <v>25000.0</v>
      </c>
      <c r="Z47" s="206"/>
      <c r="AA47" s="30"/>
      <c r="AB47" s="144" t="s">
        <v>77</v>
      </c>
      <c r="AC47" s="153"/>
      <c r="AD47" s="153">
        <v>15538.64</v>
      </c>
      <c r="AE47" s="153">
        <f>15621.15+15870.26</f>
        <v>31491.41</v>
      </c>
      <c r="AF47" s="142"/>
    </row>
    <row r="48">
      <c r="A48" s="154" t="s">
        <v>78</v>
      </c>
      <c r="B48" s="155"/>
      <c r="C48" s="155"/>
      <c r="D48" s="133"/>
      <c r="E48" s="34"/>
      <c r="F48" s="154" t="s">
        <v>78</v>
      </c>
      <c r="G48" s="155">
        <f>8288.11+8333.19</f>
        <v>16621.3</v>
      </c>
      <c r="H48" s="155">
        <f>8489.38+8400.78</f>
        <v>16890.16</v>
      </c>
      <c r="I48" s="133">
        <f t="shared" si="35"/>
        <v>33511.46</v>
      </c>
      <c r="J48" s="34"/>
      <c r="K48" s="154" t="s">
        <v>78</v>
      </c>
      <c r="L48" s="200">
        <f>8681.7+8660.75</f>
        <v>17342.45</v>
      </c>
      <c r="M48" s="156">
        <f>8669.68+8699.2+8640.78</f>
        <v>26009.66</v>
      </c>
      <c r="N48" s="53">
        <f t="shared" si="36"/>
        <v>43352.11</v>
      </c>
      <c r="O48" s="34"/>
      <c r="P48" s="132" t="s">
        <v>78</v>
      </c>
      <c r="Q48" s="186"/>
      <c r="R48" s="193"/>
      <c r="S48" s="155"/>
      <c r="V48" s="154" t="s">
        <v>79</v>
      </c>
      <c r="W48" s="208"/>
      <c r="X48" s="218">
        <v>12500.0</v>
      </c>
      <c r="Y48" s="218">
        <v>12500.0</v>
      </c>
      <c r="Z48" s="210"/>
      <c r="AA48" s="30"/>
      <c r="AB48" s="144" t="s">
        <v>83</v>
      </c>
      <c r="AC48" s="153"/>
      <c r="AD48" s="142"/>
      <c r="AE48" s="205">
        <v>12500.0</v>
      </c>
      <c r="AF48" s="142"/>
    </row>
    <row r="49">
      <c r="A49" s="159" t="s">
        <v>37</v>
      </c>
      <c r="B49" s="160">
        <f t="shared" ref="B49:D49" si="37">SUM(B46:B48)</f>
        <v>0</v>
      </c>
      <c r="C49" s="160">
        <f t="shared" si="37"/>
        <v>0</v>
      </c>
      <c r="D49" s="161">
        <f t="shared" si="37"/>
        <v>0</v>
      </c>
      <c r="E49" s="40"/>
      <c r="F49" s="159" t="s">
        <v>37</v>
      </c>
      <c r="G49" s="160">
        <f t="shared" ref="G49:I49" si="38">SUM(G46:G48)</f>
        <v>62284.3</v>
      </c>
      <c r="H49" s="160">
        <f t="shared" si="38"/>
        <v>62759.86</v>
      </c>
      <c r="I49" s="161">
        <f t="shared" si="38"/>
        <v>125044.16</v>
      </c>
      <c r="J49" s="40"/>
      <c r="K49" s="159" t="s">
        <v>37</v>
      </c>
      <c r="L49" s="162">
        <f>L46+L47+L48</f>
        <v>61833.45</v>
      </c>
      <c r="M49" s="162">
        <f>SUM(M46:M48)</f>
        <v>95408.66</v>
      </c>
      <c r="N49" s="163">
        <f>SUM(L49:M49)</f>
        <v>157242.11</v>
      </c>
      <c r="O49" s="40"/>
      <c r="P49" s="159" t="s">
        <v>37</v>
      </c>
      <c r="Q49" s="195">
        <f>SUM(Q47:Q48)</f>
        <v>0</v>
      </c>
      <c r="R49" s="196">
        <f>SUM(R46:R48)</f>
        <v>120834.3</v>
      </c>
      <c r="S49" s="161">
        <f>SUM(Q49:R49)</f>
        <v>120834.3</v>
      </c>
      <c r="V49" s="132" t="s">
        <v>88</v>
      </c>
      <c r="W49" s="157"/>
      <c r="X49" s="221"/>
      <c r="Y49" s="222"/>
      <c r="Z49" s="142"/>
      <c r="AA49" s="30"/>
      <c r="AB49" s="144" t="s">
        <v>80</v>
      </c>
      <c r="AC49" s="153"/>
      <c r="AD49" s="27"/>
      <c r="AE49" s="205">
        <v>25000.0</v>
      </c>
      <c r="AF49" s="142"/>
    </row>
    <row r="50">
      <c r="V50" s="132" t="s">
        <v>82</v>
      </c>
      <c r="W50" s="30"/>
      <c r="X50" s="158">
        <f>7831.74+7853.94+7957.56</f>
        <v>23643.24</v>
      </c>
      <c r="Y50" s="224">
        <v>8114.46</v>
      </c>
      <c r="Z50" s="165"/>
      <c r="AA50" s="30"/>
      <c r="AB50" s="144" t="s">
        <v>76</v>
      </c>
      <c r="AC50" s="225"/>
      <c r="AD50" s="142">
        <v>12500.0</v>
      </c>
      <c r="AE50" s="142">
        <v>12500.0</v>
      </c>
      <c r="AF50" s="165"/>
    </row>
    <row r="51">
      <c r="V51" s="159" t="s">
        <v>37</v>
      </c>
      <c r="W51" s="170">
        <f t="shared" ref="W51:Y51" si="39">SUM(W46:W50)</f>
        <v>0</v>
      </c>
      <c r="X51" s="171">
        <f t="shared" si="39"/>
        <v>59377.21</v>
      </c>
      <c r="Y51" s="172">
        <f t="shared" si="39"/>
        <v>69317.46</v>
      </c>
      <c r="Z51" s="173">
        <f>SUM(X51:Y51)</f>
        <v>128694.67</v>
      </c>
      <c r="AA51" s="30"/>
      <c r="AB51" s="170" t="s">
        <v>37</v>
      </c>
      <c r="AC51" s="170">
        <f>SUM(AC46:AC47)</f>
        <v>0</v>
      </c>
      <c r="AD51" s="174">
        <f t="shared" ref="AD51:AE51" si="40">SUM(AD46:AD50)</f>
        <v>48064.88</v>
      </c>
      <c r="AE51" s="214">
        <f t="shared" si="40"/>
        <v>100002.01</v>
      </c>
      <c r="AF51" s="226">
        <f>SUM(AD51:AE51)</f>
        <v>148066.89</v>
      </c>
    </row>
    <row r="52">
      <c r="W52" s="30"/>
      <c r="X52" s="30"/>
      <c r="Y52" s="30"/>
      <c r="Z52" s="30"/>
      <c r="AA52" s="30"/>
      <c r="AB52" s="30"/>
      <c r="AC52" s="30"/>
      <c r="AD52" s="30"/>
      <c r="AE52" s="30"/>
      <c r="AF52" s="30"/>
    </row>
    <row r="53">
      <c r="W53" s="30"/>
      <c r="X53" s="30"/>
      <c r="Y53" s="30"/>
      <c r="Z53" s="30"/>
      <c r="AA53" s="30"/>
      <c r="AB53" s="30"/>
      <c r="AC53" s="30"/>
      <c r="AD53" s="30"/>
      <c r="AE53" s="30"/>
      <c r="AF53" s="30"/>
    </row>
    <row r="54">
      <c r="A54" s="120">
        <v>45839.0</v>
      </c>
      <c r="B54" s="42" t="s">
        <v>68</v>
      </c>
      <c r="C54" s="43" t="s">
        <v>69</v>
      </c>
      <c r="D54" s="46" t="s">
        <v>28</v>
      </c>
      <c r="E54" s="198"/>
      <c r="F54" s="120">
        <v>45839.0</v>
      </c>
      <c r="G54" s="42" t="s">
        <v>68</v>
      </c>
      <c r="H54" s="43" t="s">
        <v>69</v>
      </c>
      <c r="I54" s="46" t="s">
        <v>28</v>
      </c>
      <c r="J54" s="198"/>
      <c r="K54" s="120">
        <v>45474.0</v>
      </c>
      <c r="L54" s="42" t="s">
        <v>68</v>
      </c>
      <c r="M54" s="43" t="s">
        <v>69</v>
      </c>
      <c r="N54" s="46" t="s">
        <v>28</v>
      </c>
      <c r="O54" s="198"/>
      <c r="P54" s="126">
        <v>45078.0</v>
      </c>
      <c r="Q54" s="42" t="s">
        <v>68</v>
      </c>
      <c r="R54" s="43" t="s">
        <v>69</v>
      </c>
      <c r="S54" s="46" t="s">
        <v>28</v>
      </c>
      <c r="V54" s="126">
        <v>44743.0</v>
      </c>
      <c r="W54" s="177" t="s">
        <v>70</v>
      </c>
      <c r="X54" s="178" t="s">
        <v>68</v>
      </c>
      <c r="Y54" s="179" t="s">
        <v>69</v>
      </c>
      <c r="Z54" s="180" t="s">
        <v>28</v>
      </c>
      <c r="AA54" s="30"/>
      <c r="AB54" s="181">
        <v>44378.0</v>
      </c>
      <c r="AC54" s="177"/>
      <c r="AD54" s="182" t="s">
        <v>68</v>
      </c>
      <c r="AE54" s="199" t="s">
        <v>69</v>
      </c>
      <c r="AF54" s="184" t="s">
        <v>28</v>
      </c>
    </row>
    <row r="55">
      <c r="A55" s="132" t="s">
        <v>87</v>
      </c>
      <c r="B55" s="88"/>
      <c r="C55" s="85"/>
      <c r="D55" s="133"/>
      <c r="E55" s="34"/>
      <c r="F55" s="132" t="s">
        <v>87</v>
      </c>
      <c r="G55" s="88">
        <v>26431.08</v>
      </c>
      <c r="H55" s="85">
        <v>26794.0</v>
      </c>
      <c r="I55" s="133">
        <f t="shared" ref="I55:I57" si="41">SUM(G55:H55)</f>
        <v>53225.08</v>
      </c>
      <c r="J55" s="34"/>
      <c r="K55" s="132" t="s">
        <v>71</v>
      </c>
      <c r="L55" s="227">
        <v>24867.3</v>
      </c>
      <c r="M55" s="94">
        <v>49705.729999999996</v>
      </c>
      <c r="N55" s="53">
        <f t="shared" ref="N55:N57" si="42">L55+M55</f>
        <v>74573.03</v>
      </c>
      <c r="O55" s="34"/>
      <c r="P55" s="185" t="s">
        <v>72</v>
      </c>
      <c r="Q55" s="200">
        <v>28430.0</v>
      </c>
      <c r="R55" s="108">
        <v>24501.0</v>
      </c>
      <c r="S55" s="85"/>
      <c r="V55" s="185" t="s">
        <v>72</v>
      </c>
      <c r="W55" s="201">
        <v>196057.54</v>
      </c>
      <c r="X55" s="158">
        <v>24371.56</v>
      </c>
      <c r="Y55" s="215">
        <v>24757.72</v>
      </c>
      <c r="Z55" s="203"/>
      <c r="AA55" s="30"/>
      <c r="AB55" s="144" t="s">
        <v>73</v>
      </c>
      <c r="AC55" s="142"/>
      <c r="AD55" s="142">
        <v>18450.88</v>
      </c>
      <c r="AE55" s="158">
        <v>19042.24</v>
      </c>
      <c r="AF55" s="142"/>
    </row>
    <row r="56">
      <c r="A56" s="132" t="s">
        <v>74</v>
      </c>
      <c r="B56" s="146"/>
      <c r="C56" s="146"/>
      <c r="D56" s="133"/>
      <c r="E56" s="34"/>
      <c r="F56" s="132" t="s">
        <v>74</v>
      </c>
      <c r="G56" s="146">
        <v>19500.0</v>
      </c>
      <c r="H56" s="146">
        <f>19500+13750</f>
        <v>33250</v>
      </c>
      <c r="I56" s="133">
        <f t="shared" si="41"/>
        <v>52750</v>
      </c>
      <c r="J56" s="34"/>
      <c r="K56" s="132" t="s">
        <v>74</v>
      </c>
      <c r="L56" s="228"/>
      <c r="M56" s="229">
        <v>52750.0</v>
      </c>
      <c r="N56" s="53">
        <f t="shared" si="42"/>
        <v>52750</v>
      </c>
      <c r="O56" s="34"/>
      <c r="P56" s="154" t="s">
        <v>74</v>
      </c>
      <c r="Q56" s="192">
        <v>18000.0</v>
      </c>
      <c r="R56" s="146">
        <v>18000.0</v>
      </c>
      <c r="S56" s="146"/>
      <c r="V56" s="188" t="s">
        <v>75</v>
      </c>
      <c r="W56" s="206"/>
      <c r="X56" s="216"/>
      <c r="Y56" s="217"/>
      <c r="Z56" s="206"/>
      <c r="AA56" s="30"/>
      <c r="AB56" s="144" t="s">
        <v>77</v>
      </c>
      <c r="AC56" s="153"/>
      <c r="AD56" s="153">
        <v>16415.15</v>
      </c>
      <c r="AE56" s="230">
        <v>16424.94</v>
      </c>
      <c r="AF56" s="142"/>
    </row>
    <row r="57">
      <c r="A57" s="154" t="s">
        <v>78</v>
      </c>
      <c r="B57" s="155"/>
      <c r="C57" s="155"/>
      <c r="D57" s="133"/>
      <c r="E57" s="34"/>
      <c r="F57" s="154" t="s">
        <v>78</v>
      </c>
      <c r="G57" s="155">
        <f>8352.23+8389.87</f>
        <v>16742.1</v>
      </c>
      <c r="H57" s="155">
        <f>8437.48+8485.12</f>
        <v>16922.6</v>
      </c>
      <c r="I57" s="133">
        <f t="shared" si="41"/>
        <v>33664.7</v>
      </c>
      <c r="J57" s="34"/>
      <c r="K57" s="154" t="s">
        <v>78</v>
      </c>
      <c r="L57" s="231">
        <v>25917.379999999997</v>
      </c>
      <c r="M57" s="156">
        <v>8632.56</v>
      </c>
      <c r="N57" s="53">
        <f t="shared" si="42"/>
        <v>34549.94</v>
      </c>
      <c r="O57" s="34"/>
      <c r="P57" s="132" t="s">
        <v>78</v>
      </c>
      <c r="Q57" s="232">
        <f>8276.26+8278.37+2710.73</f>
        <v>19265.36</v>
      </c>
      <c r="R57" s="193">
        <f>8233.68+8235.53</f>
        <v>16469.21</v>
      </c>
      <c r="S57" s="155"/>
      <c r="V57" s="154" t="s">
        <v>79</v>
      </c>
      <c r="W57" s="208"/>
      <c r="X57" s="218">
        <v>12500.0</v>
      </c>
      <c r="Y57" s="218">
        <v>12500.0</v>
      </c>
      <c r="Z57" s="210"/>
      <c r="AA57" s="30"/>
      <c r="AB57" s="144" t="s">
        <v>83</v>
      </c>
      <c r="AC57" s="153"/>
      <c r="AD57" s="142"/>
      <c r="AE57" s="142"/>
      <c r="AF57" s="142"/>
    </row>
    <row r="58">
      <c r="A58" s="159" t="s">
        <v>37</v>
      </c>
      <c r="B58" s="160">
        <f t="shared" ref="B58:D58" si="43">SUM(B55:B57)</f>
        <v>0</v>
      </c>
      <c r="C58" s="160">
        <f t="shared" si="43"/>
        <v>0</v>
      </c>
      <c r="D58" s="161">
        <f t="shared" si="43"/>
        <v>0</v>
      </c>
      <c r="E58" s="40"/>
      <c r="F58" s="159" t="s">
        <v>37</v>
      </c>
      <c r="G58" s="160">
        <f t="shared" ref="G58:I58" si="44">SUM(G55:G57)</f>
        <v>62673.18</v>
      </c>
      <c r="H58" s="160">
        <f t="shared" si="44"/>
        <v>76966.6</v>
      </c>
      <c r="I58" s="161">
        <f t="shared" si="44"/>
        <v>139639.78</v>
      </c>
      <c r="J58" s="40"/>
      <c r="K58" s="159" t="s">
        <v>37</v>
      </c>
      <c r="L58" s="162">
        <f>L55+L56+L57</f>
        <v>50784.68</v>
      </c>
      <c r="M58" s="162">
        <f>SUM(M55:M57)</f>
        <v>111088.29</v>
      </c>
      <c r="N58" s="163">
        <f>SUM(L58:M58)</f>
        <v>161872.97</v>
      </c>
      <c r="O58" s="40"/>
      <c r="P58" s="159" t="s">
        <v>37</v>
      </c>
      <c r="Q58" s="195">
        <f t="shared" ref="Q58:R58" si="45">SUM(Q55:Q57)</f>
        <v>65695.36</v>
      </c>
      <c r="R58" s="196">
        <f t="shared" si="45"/>
        <v>58970.21</v>
      </c>
      <c r="S58" s="161">
        <f>SUM(Q58:R58)</f>
        <v>124665.57</v>
      </c>
      <c r="V58" s="132" t="s">
        <v>88</v>
      </c>
      <c r="W58" s="157"/>
      <c r="X58" s="221"/>
      <c r="Y58" s="222"/>
      <c r="Z58" s="142"/>
      <c r="AA58" s="30"/>
      <c r="AB58" s="144" t="s">
        <v>80</v>
      </c>
      <c r="AC58" s="153"/>
      <c r="AD58" s="27"/>
      <c r="AE58" s="142"/>
      <c r="AF58" s="142"/>
    </row>
    <row r="59">
      <c r="V59" s="132" t="s">
        <v>82</v>
      </c>
      <c r="W59" s="30"/>
      <c r="X59" s="158">
        <f>8160.34+8332.05</f>
        <v>16492.39</v>
      </c>
      <c r="Y59" s="224">
        <f>8306+8194.39</f>
        <v>16500.39</v>
      </c>
      <c r="Z59" s="165"/>
      <c r="AA59" s="30"/>
      <c r="AB59" s="144" t="s">
        <v>76</v>
      </c>
      <c r="AC59" s="225"/>
      <c r="AD59" s="142">
        <v>12500.0</v>
      </c>
      <c r="AE59" s="142">
        <v>12500.0</v>
      </c>
      <c r="AF59" s="165"/>
    </row>
    <row r="60">
      <c r="V60" s="159" t="s">
        <v>37</v>
      </c>
      <c r="W60" s="170">
        <f t="shared" ref="W60:Y60" si="46">SUM(W55:W59)</f>
        <v>196057.54</v>
      </c>
      <c r="X60" s="171">
        <f t="shared" si="46"/>
        <v>53363.95</v>
      </c>
      <c r="Y60" s="172">
        <f t="shared" si="46"/>
        <v>53758.11</v>
      </c>
      <c r="Z60" s="173">
        <f>SUM(X60:Y60)</f>
        <v>107122.06</v>
      </c>
      <c r="AA60" s="30"/>
      <c r="AB60" s="170" t="s">
        <v>37</v>
      </c>
      <c r="AC60" s="170">
        <f>SUM(AC55:AC56)</f>
        <v>0</v>
      </c>
      <c r="AD60" s="174">
        <f t="shared" ref="AD60:AE60" si="47">SUM(AD55:AD59)</f>
        <v>47366.03</v>
      </c>
      <c r="AE60" s="214">
        <f t="shared" si="47"/>
        <v>47967.18</v>
      </c>
      <c r="AF60" s="226">
        <f>SUM(AD60:AE60)</f>
        <v>95333.21</v>
      </c>
    </row>
    <row r="61">
      <c r="W61" s="30"/>
      <c r="X61" s="30"/>
      <c r="Y61" s="30"/>
      <c r="Z61" s="30"/>
      <c r="AA61" s="30"/>
      <c r="AB61" s="30"/>
      <c r="AC61" s="30"/>
      <c r="AD61" s="30"/>
      <c r="AE61" s="30"/>
      <c r="AF61" s="30"/>
    </row>
    <row r="62">
      <c r="A62" s="120">
        <v>45870.0</v>
      </c>
      <c r="B62" s="42" t="s">
        <v>68</v>
      </c>
      <c r="C62" s="43" t="s">
        <v>69</v>
      </c>
      <c r="D62" s="46" t="s">
        <v>28</v>
      </c>
      <c r="E62" s="198"/>
      <c r="F62" s="120">
        <v>45870.0</v>
      </c>
      <c r="G62" s="42" t="s">
        <v>68</v>
      </c>
      <c r="H62" s="43" t="s">
        <v>69</v>
      </c>
      <c r="I62" s="46" t="s">
        <v>28</v>
      </c>
      <c r="J62" s="198"/>
      <c r="K62" s="120">
        <v>45505.0</v>
      </c>
      <c r="L62" s="42" t="s">
        <v>68</v>
      </c>
      <c r="M62" s="43" t="s">
        <v>69</v>
      </c>
      <c r="N62" s="46" t="s">
        <v>28</v>
      </c>
      <c r="O62" s="198"/>
      <c r="P62" s="120">
        <v>45108.0</v>
      </c>
      <c r="Q62" s="42" t="s">
        <v>68</v>
      </c>
      <c r="R62" s="43" t="s">
        <v>69</v>
      </c>
      <c r="S62" s="46" t="s">
        <v>28</v>
      </c>
      <c r="V62" s="126">
        <v>44774.0</v>
      </c>
      <c r="W62" s="177" t="s">
        <v>70</v>
      </c>
      <c r="X62" s="178" t="s">
        <v>68</v>
      </c>
      <c r="Y62" s="179" t="s">
        <v>69</v>
      </c>
      <c r="Z62" s="180" t="s">
        <v>28</v>
      </c>
      <c r="AA62" s="30"/>
      <c r="AB62" s="233">
        <v>44409.0</v>
      </c>
      <c r="AC62" s="177" t="s">
        <v>70</v>
      </c>
      <c r="AD62" s="182" t="s">
        <v>68</v>
      </c>
      <c r="AE62" s="199" t="s">
        <v>69</v>
      </c>
      <c r="AF62" s="234" t="s">
        <v>28</v>
      </c>
    </row>
    <row r="63">
      <c r="A63" s="132" t="s">
        <v>87</v>
      </c>
      <c r="B63" s="88"/>
      <c r="C63" s="85"/>
      <c r="D63" s="133"/>
      <c r="E63" s="34"/>
      <c r="F63" s="132" t="s">
        <v>87</v>
      </c>
      <c r="G63" s="88">
        <v>25733.91</v>
      </c>
      <c r="H63" s="85">
        <f>26806.81+7200</f>
        <v>34006.81</v>
      </c>
      <c r="I63" s="133">
        <f t="shared" ref="I63:I65" si="48">SUM(G63:H63)</f>
        <v>59740.72</v>
      </c>
      <c r="J63" s="34"/>
      <c r="K63" s="132" t="s">
        <v>71</v>
      </c>
      <c r="L63" s="227">
        <v>24574.72</v>
      </c>
      <c r="M63" s="52">
        <v>24060.0</v>
      </c>
      <c r="N63" s="53">
        <f t="shared" ref="N63:N65" si="49">L63+M63</f>
        <v>48634.72</v>
      </c>
      <c r="O63" s="34"/>
      <c r="P63" s="132" t="s">
        <v>72</v>
      </c>
      <c r="Q63" s="235">
        <v>25938.0</v>
      </c>
      <c r="R63" s="108">
        <v>21819.13</v>
      </c>
      <c r="S63" s="85"/>
      <c r="V63" s="185" t="s">
        <v>72</v>
      </c>
      <c r="W63" s="201"/>
      <c r="X63" s="158">
        <v>57702.0</v>
      </c>
      <c r="Y63" s="215">
        <v>22471.0</v>
      </c>
      <c r="Z63" s="203"/>
      <c r="AA63" s="30"/>
      <c r="AB63" s="144" t="s">
        <v>73</v>
      </c>
      <c r="AC63" s="142"/>
      <c r="AD63" s="142">
        <v>49182.18</v>
      </c>
      <c r="AE63" s="158"/>
      <c r="AF63" s="153"/>
    </row>
    <row r="64">
      <c r="A64" s="132" t="s">
        <v>74</v>
      </c>
      <c r="B64" s="146"/>
      <c r="C64" s="146"/>
      <c r="D64" s="133"/>
      <c r="E64" s="34"/>
      <c r="F64" s="132" t="s">
        <v>74</v>
      </c>
      <c r="G64" s="146">
        <v>19500.0</v>
      </c>
      <c r="H64" s="146">
        <v>19500.0</v>
      </c>
      <c r="I64" s="133">
        <f t="shared" si="48"/>
        <v>39000</v>
      </c>
      <c r="J64" s="34"/>
      <c r="K64" s="132" t="s">
        <v>74</v>
      </c>
      <c r="L64" s="228">
        <v>19500.0</v>
      </c>
      <c r="M64" s="228">
        <v>19500.0</v>
      </c>
      <c r="N64" s="53">
        <f t="shared" si="49"/>
        <v>39000</v>
      </c>
      <c r="O64" s="34"/>
      <c r="P64" s="132" t="s">
        <v>74</v>
      </c>
      <c r="Q64" s="236">
        <v>18000.0</v>
      </c>
      <c r="R64" s="146">
        <v>18000.0</v>
      </c>
      <c r="S64" s="146"/>
      <c r="V64" s="188" t="s">
        <v>75</v>
      </c>
      <c r="W64" s="206"/>
      <c r="X64" s="216"/>
      <c r="Y64" s="217"/>
      <c r="Z64" s="206"/>
      <c r="AA64" s="30"/>
      <c r="AB64" s="144" t="s">
        <v>77</v>
      </c>
      <c r="AC64" s="153"/>
      <c r="AD64" s="153">
        <v>16476.9</v>
      </c>
      <c r="AE64" s="230">
        <v>16432.13</v>
      </c>
      <c r="AF64" s="153"/>
    </row>
    <row r="65">
      <c r="A65" s="154" t="s">
        <v>78</v>
      </c>
      <c r="B65" s="155"/>
      <c r="C65" s="155"/>
      <c r="D65" s="133"/>
      <c r="E65" s="34"/>
      <c r="F65" s="154" t="s">
        <v>78</v>
      </c>
      <c r="G65" s="155">
        <f>8573.65+8416.76</f>
        <v>16990.41</v>
      </c>
      <c r="H65" s="155">
        <f>8445.47+8363.04+8481.15</f>
        <v>25289.66</v>
      </c>
      <c r="I65" s="133">
        <f t="shared" si="48"/>
        <v>42280.07</v>
      </c>
      <c r="J65" s="34"/>
      <c r="K65" s="154" t="s">
        <v>78</v>
      </c>
      <c r="L65" s="231">
        <f>8549.38+8463.86</f>
        <v>17013.24</v>
      </c>
      <c r="M65" s="156">
        <f>8449.35+8324.09+8311.28</f>
        <v>25084.72</v>
      </c>
      <c r="N65" s="53">
        <f t="shared" si="49"/>
        <v>42097.96</v>
      </c>
      <c r="O65" s="34"/>
      <c r="P65" s="154" t="s">
        <v>78</v>
      </c>
      <c r="Q65" s="85">
        <v>16377.59</v>
      </c>
      <c r="R65" s="193">
        <f>8041.04+8088.35</f>
        <v>16129.39</v>
      </c>
      <c r="S65" s="155"/>
      <c r="V65" s="154" t="s">
        <v>79</v>
      </c>
      <c r="W65" s="208"/>
      <c r="X65" s="218">
        <v>12500.0</v>
      </c>
      <c r="Y65" s="218">
        <v>12500.0</v>
      </c>
      <c r="Z65" s="210"/>
      <c r="AA65" s="30"/>
      <c r="AB65" s="144" t="s">
        <v>83</v>
      </c>
      <c r="AC65" s="153"/>
      <c r="AD65" s="142"/>
      <c r="AE65" s="158">
        <v>64883.36</v>
      </c>
      <c r="AF65" s="153"/>
    </row>
    <row r="66">
      <c r="A66" s="159" t="s">
        <v>37</v>
      </c>
      <c r="B66" s="160">
        <f t="shared" ref="B66:D66" si="50">SUM(B63:B65)</f>
        <v>0</v>
      </c>
      <c r="C66" s="160">
        <f t="shared" si="50"/>
        <v>0</v>
      </c>
      <c r="D66" s="161">
        <f t="shared" si="50"/>
        <v>0</v>
      </c>
      <c r="E66" s="40"/>
      <c r="F66" s="159" t="s">
        <v>37</v>
      </c>
      <c r="G66" s="160">
        <f t="shared" ref="G66:I66" si="51">SUM(G63:G65)</f>
        <v>62224.32</v>
      </c>
      <c r="H66" s="160">
        <f t="shared" si="51"/>
        <v>78796.47</v>
      </c>
      <c r="I66" s="161">
        <f t="shared" si="51"/>
        <v>141020.79</v>
      </c>
      <c r="J66" s="40"/>
      <c r="K66" s="159" t="s">
        <v>37</v>
      </c>
      <c r="L66" s="162">
        <f>L63+L64+L65</f>
        <v>61087.96</v>
      </c>
      <c r="M66" s="162">
        <f>SUM(M63:M65)</f>
        <v>68644.72</v>
      </c>
      <c r="N66" s="163">
        <f>SUM(L66:M66)</f>
        <v>129732.68</v>
      </c>
      <c r="O66" s="40"/>
      <c r="P66" s="159" t="s">
        <v>37</v>
      </c>
      <c r="Q66" s="160">
        <f t="shared" ref="Q66:R66" si="52">SUM(Q63:Q65)</f>
        <v>60315.59</v>
      </c>
      <c r="R66" s="196">
        <f t="shared" si="52"/>
        <v>55948.52</v>
      </c>
      <c r="S66" s="161">
        <f>SUM(Q66:R66)</f>
        <v>116264.11</v>
      </c>
      <c r="V66" s="132" t="s">
        <v>88</v>
      </c>
      <c r="W66" s="157"/>
      <c r="X66" s="221"/>
      <c r="Y66" s="222"/>
      <c r="Z66" s="142"/>
      <c r="AA66" s="30"/>
      <c r="AB66" s="144" t="s">
        <v>80</v>
      </c>
      <c r="AC66" s="153"/>
      <c r="AD66" s="27"/>
      <c r="AE66" s="142"/>
      <c r="AF66" s="153"/>
    </row>
    <row r="67">
      <c r="V67" s="132" t="s">
        <v>82</v>
      </c>
      <c r="W67" s="30"/>
      <c r="X67" s="158">
        <f>8222.66+8247.17</f>
        <v>16469.83</v>
      </c>
      <c r="Y67" s="224">
        <f>8260.46+8300.32</f>
        <v>16560.78</v>
      </c>
      <c r="Z67" s="165"/>
      <c r="AA67" s="30"/>
      <c r="AB67" s="144" t="s">
        <v>76</v>
      </c>
      <c r="AC67" s="225"/>
      <c r="AD67" s="142">
        <v>12500.0</v>
      </c>
      <c r="AE67" s="142">
        <v>12500.0</v>
      </c>
      <c r="AF67" s="153"/>
    </row>
    <row r="68">
      <c r="V68" s="159" t="s">
        <v>37</v>
      </c>
      <c r="W68" s="170">
        <f t="shared" ref="W68:Y68" si="53">SUM(W63:W67)</f>
        <v>0</v>
      </c>
      <c r="X68" s="171">
        <f t="shared" si="53"/>
        <v>86671.83</v>
      </c>
      <c r="Y68" s="172">
        <f t="shared" si="53"/>
        <v>51531.78</v>
      </c>
      <c r="Z68" s="173">
        <f>SUM(X68:Y68)</f>
        <v>138203.61</v>
      </c>
      <c r="AA68" s="30"/>
      <c r="AB68" s="170" t="s">
        <v>37</v>
      </c>
      <c r="AC68" s="170">
        <f>SUM(AC63:AC64)</f>
        <v>0</v>
      </c>
      <c r="AD68" s="174">
        <f t="shared" ref="AD68:AE68" si="54">SUM(AD63:AD67)</f>
        <v>78159.08</v>
      </c>
      <c r="AE68" s="214">
        <f t="shared" si="54"/>
        <v>93815.49</v>
      </c>
      <c r="AF68" s="175">
        <f>SUM(AD68:AE68)</f>
        <v>171974.57</v>
      </c>
    </row>
    <row r="69">
      <c r="W69" s="30"/>
      <c r="X69" s="30"/>
      <c r="Y69" s="30"/>
      <c r="Z69" s="30"/>
      <c r="AA69" s="30"/>
      <c r="AB69" s="30"/>
      <c r="AC69" s="30"/>
      <c r="AD69" s="30"/>
      <c r="AE69" s="30"/>
      <c r="AF69" s="30"/>
    </row>
    <row r="70">
      <c r="A70" s="120">
        <v>45901.0</v>
      </c>
      <c r="B70" s="42" t="s">
        <v>68</v>
      </c>
      <c r="C70" s="43" t="s">
        <v>69</v>
      </c>
      <c r="D70" s="46" t="s">
        <v>28</v>
      </c>
      <c r="E70" s="198"/>
      <c r="F70" s="120">
        <v>45901.0</v>
      </c>
      <c r="G70" s="42" t="s">
        <v>68</v>
      </c>
      <c r="H70" s="43" t="s">
        <v>69</v>
      </c>
      <c r="I70" s="46" t="s">
        <v>28</v>
      </c>
      <c r="J70" s="198"/>
      <c r="K70" s="120">
        <v>45536.0</v>
      </c>
      <c r="L70" s="42" t="s">
        <v>68</v>
      </c>
      <c r="M70" s="43" t="s">
        <v>69</v>
      </c>
      <c r="N70" s="46" t="s">
        <v>28</v>
      </c>
      <c r="O70" s="198"/>
      <c r="P70" s="120">
        <v>45139.0</v>
      </c>
      <c r="Q70" s="42" t="s">
        <v>68</v>
      </c>
      <c r="R70" s="43" t="s">
        <v>69</v>
      </c>
      <c r="S70" s="46" t="s">
        <v>28</v>
      </c>
      <c r="V70" s="126">
        <v>44805.0</v>
      </c>
      <c r="W70" s="177" t="s">
        <v>70</v>
      </c>
      <c r="X70" s="178" t="s">
        <v>68</v>
      </c>
      <c r="Y70" s="179" t="s">
        <v>69</v>
      </c>
      <c r="Z70" s="180" t="s">
        <v>28</v>
      </c>
      <c r="AA70" s="30"/>
      <c r="AB70" s="233">
        <v>44440.0</v>
      </c>
      <c r="AC70" s="177" t="s">
        <v>70</v>
      </c>
      <c r="AD70" s="182" t="s">
        <v>68</v>
      </c>
      <c r="AE70" s="199" t="s">
        <v>69</v>
      </c>
      <c r="AF70" s="184" t="s">
        <v>28</v>
      </c>
    </row>
    <row r="71">
      <c r="A71" s="132" t="s">
        <v>87</v>
      </c>
      <c r="B71" s="88">
        <v>23892.96</v>
      </c>
      <c r="C71" s="85">
        <f>14000+26910</f>
        <v>40910</v>
      </c>
      <c r="D71" s="133">
        <f t="shared" ref="D71:D73" si="55">SUM(B71:C71)</f>
        <v>64802.96</v>
      </c>
      <c r="E71" s="34"/>
      <c r="F71" s="132" t="s">
        <v>87</v>
      </c>
      <c r="G71" s="88">
        <v>23892.96</v>
      </c>
      <c r="H71" s="85">
        <f>14000+26910</f>
        <v>40910</v>
      </c>
      <c r="I71" s="133">
        <f t="shared" ref="I71:I73" si="56">SUM(G71:H71)</f>
        <v>64802.96</v>
      </c>
      <c r="J71" s="34"/>
      <c r="K71" s="132" t="s">
        <v>71</v>
      </c>
      <c r="L71" s="227">
        <v>23983.94</v>
      </c>
      <c r="M71" s="52">
        <v>23639.67</v>
      </c>
      <c r="N71" s="53">
        <f t="shared" ref="N71:N73" si="57">L71+M71</f>
        <v>47623.61</v>
      </c>
      <c r="O71" s="34"/>
      <c r="P71" s="132" t="s">
        <v>72</v>
      </c>
      <c r="Q71" s="235">
        <v>53667.0</v>
      </c>
      <c r="R71" s="108">
        <v>24978.0</v>
      </c>
      <c r="S71" s="85"/>
      <c r="V71" s="185" t="s">
        <v>72</v>
      </c>
      <c r="W71" s="201"/>
      <c r="X71" s="158">
        <v>29562.5</v>
      </c>
      <c r="Y71" s="237">
        <v>25378.73</v>
      </c>
      <c r="Z71" s="203"/>
      <c r="AA71" s="30"/>
      <c r="AB71" s="144" t="s">
        <v>73</v>
      </c>
      <c r="AC71" s="142"/>
      <c r="AD71" s="238">
        <v>20000.0</v>
      </c>
      <c r="AE71" s="238">
        <v>17364.8</v>
      </c>
      <c r="AF71" s="142"/>
    </row>
    <row r="72">
      <c r="A72" s="132" t="s">
        <v>74</v>
      </c>
      <c r="B72" s="146">
        <v>19500.0</v>
      </c>
      <c r="C72" s="146">
        <f>19500+13750</f>
        <v>33250</v>
      </c>
      <c r="D72" s="133">
        <f t="shared" si="55"/>
        <v>52750</v>
      </c>
      <c r="E72" s="34"/>
      <c r="F72" s="132" t="s">
        <v>74</v>
      </c>
      <c r="G72" s="146">
        <v>19500.0</v>
      </c>
      <c r="H72" s="146">
        <f>19500+13750</f>
        <v>33250</v>
      </c>
      <c r="I72" s="133">
        <f t="shared" si="56"/>
        <v>52750</v>
      </c>
      <c r="J72" s="34"/>
      <c r="K72" s="132" t="s">
        <v>74</v>
      </c>
      <c r="L72" s="228">
        <v>19500.0</v>
      </c>
      <c r="M72" s="228">
        <v>19500.0</v>
      </c>
      <c r="N72" s="53">
        <f t="shared" si="57"/>
        <v>39000</v>
      </c>
      <c r="O72" s="34"/>
      <c r="P72" s="132" t="s">
        <v>74</v>
      </c>
      <c r="Q72" s="236">
        <v>18000.0</v>
      </c>
      <c r="R72" s="146">
        <v>18000.0</v>
      </c>
      <c r="S72" s="146"/>
      <c r="V72" s="188" t="s">
        <v>75</v>
      </c>
      <c r="W72" s="206"/>
      <c r="X72" s="216"/>
      <c r="Y72" s="217"/>
      <c r="Z72" s="206"/>
      <c r="AA72" s="30"/>
      <c r="AB72" s="144" t="s">
        <v>83</v>
      </c>
      <c r="AC72" s="157"/>
      <c r="AD72" s="207">
        <v>25000.0</v>
      </c>
      <c r="AE72" s="238"/>
      <c r="AF72" s="142"/>
    </row>
    <row r="73">
      <c r="A73" s="154" t="s">
        <v>78</v>
      </c>
      <c r="B73" s="155">
        <f>8436.98+8472.25</f>
        <v>16909.23</v>
      </c>
      <c r="C73" s="155">
        <f>8474.18+8625.27</f>
        <v>17099.45</v>
      </c>
      <c r="D73" s="133">
        <f t="shared" si="55"/>
        <v>34008.68</v>
      </c>
      <c r="E73" s="34"/>
      <c r="F73" s="154" t="s">
        <v>78</v>
      </c>
      <c r="G73" s="155">
        <f>8436.98+8472.25</f>
        <v>16909.23</v>
      </c>
      <c r="H73" s="155">
        <f>8474.18+8625.27</f>
        <v>17099.45</v>
      </c>
      <c r="I73" s="133">
        <f t="shared" si="56"/>
        <v>34008.68</v>
      </c>
      <c r="J73" s="34"/>
      <c r="K73" s="154" t="s">
        <v>78</v>
      </c>
      <c r="L73" s="228">
        <f>8292.35+8274.28</f>
        <v>16566.63</v>
      </c>
      <c r="M73" s="228">
        <f>8230.96+8277.65</f>
        <v>16508.61</v>
      </c>
      <c r="N73" s="53">
        <f t="shared" si="57"/>
        <v>33075.24</v>
      </c>
      <c r="O73" s="34"/>
      <c r="P73" s="154" t="s">
        <v>78</v>
      </c>
      <c r="Q73" s="85">
        <f>8180.59+8357.12</f>
        <v>16537.71</v>
      </c>
      <c r="R73" s="193">
        <f>8299.15+8364.87</f>
        <v>16664.02</v>
      </c>
      <c r="S73" s="155"/>
      <c r="V73" s="154" t="s">
        <v>79</v>
      </c>
      <c r="W73" s="208"/>
      <c r="X73" s="218">
        <v>12500.0</v>
      </c>
      <c r="Y73" s="218">
        <v>12500.0</v>
      </c>
      <c r="Z73" s="210"/>
      <c r="AA73" s="30"/>
      <c r="AB73" s="144" t="s">
        <v>80</v>
      </c>
      <c r="AC73" s="157"/>
      <c r="AD73" s="207">
        <v>12500.0</v>
      </c>
      <c r="AE73" s="238"/>
      <c r="AF73" s="142"/>
    </row>
    <row r="74">
      <c r="A74" s="159" t="s">
        <v>37</v>
      </c>
      <c r="B74" s="160">
        <f t="shared" ref="B74:D74" si="58">SUM(B71:B73)</f>
        <v>60302.19</v>
      </c>
      <c r="C74" s="160">
        <f t="shared" si="58"/>
        <v>91259.45</v>
      </c>
      <c r="D74" s="161">
        <f t="shared" si="58"/>
        <v>151561.64</v>
      </c>
      <c r="E74" s="40"/>
      <c r="F74" s="159" t="s">
        <v>37</v>
      </c>
      <c r="G74" s="160">
        <f t="shared" ref="G74:I74" si="59">SUM(G71:G73)</f>
        <v>60302.19</v>
      </c>
      <c r="H74" s="160">
        <f t="shared" si="59"/>
        <v>91259.45</v>
      </c>
      <c r="I74" s="161">
        <f t="shared" si="59"/>
        <v>151561.64</v>
      </c>
      <c r="J74" s="40"/>
      <c r="K74" s="159" t="s">
        <v>37</v>
      </c>
      <c r="L74" s="162">
        <f>L71+L72+L73</f>
        <v>60050.57</v>
      </c>
      <c r="M74" s="162">
        <f>SUM(M71:M73)</f>
        <v>59648.28</v>
      </c>
      <c r="N74" s="163">
        <f>SUM(L74:M74)</f>
        <v>119698.85</v>
      </c>
      <c r="O74" s="40"/>
      <c r="P74" s="159" t="s">
        <v>37</v>
      </c>
      <c r="Q74" s="160">
        <f t="shared" ref="Q74:R74" si="60">SUM(Q71:Q73)</f>
        <v>88204.71</v>
      </c>
      <c r="R74" s="196">
        <f t="shared" si="60"/>
        <v>59642.02</v>
      </c>
      <c r="S74" s="161">
        <f>SUM(Q74:R74)</f>
        <v>147846.73</v>
      </c>
      <c r="V74" s="132" t="s">
        <v>82</v>
      </c>
      <c r="W74" s="30"/>
      <c r="X74" s="158">
        <f>8399.24+8389.64</f>
        <v>16788.88</v>
      </c>
      <c r="Y74" s="224">
        <f>8466.42+8673.85</f>
        <v>17140.27</v>
      </c>
      <c r="Z74" s="165"/>
      <c r="AA74" s="30"/>
      <c r="AB74" s="144" t="s">
        <v>76</v>
      </c>
      <c r="AC74" s="239"/>
      <c r="AD74" s="207">
        <v>12500.0</v>
      </c>
      <c r="AE74" s="238">
        <v>12500.0</v>
      </c>
      <c r="AF74" s="165"/>
    </row>
    <row r="75">
      <c r="V75" s="159" t="s">
        <v>37</v>
      </c>
      <c r="W75" s="170">
        <f t="shared" ref="W75:Y75" si="61">SUM(W71:W74)</f>
        <v>0</v>
      </c>
      <c r="X75" s="171">
        <f t="shared" si="61"/>
        <v>58851.38</v>
      </c>
      <c r="Y75" s="172">
        <f t="shared" si="61"/>
        <v>55019</v>
      </c>
      <c r="Z75" s="173">
        <f>SUM(X75:Y75)</f>
        <v>113870.38</v>
      </c>
      <c r="AA75" s="30"/>
      <c r="AB75" s="170" t="s">
        <v>37</v>
      </c>
      <c r="AC75" s="170">
        <f>SUM(AC71)</f>
        <v>0</v>
      </c>
      <c r="AD75" s="171">
        <f t="shared" ref="AD75:AE75" si="62">SUM(AD71:AD74)</f>
        <v>70000</v>
      </c>
      <c r="AE75" s="172">
        <f t="shared" si="62"/>
        <v>29864.8</v>
      </c>
      <c r="AF75" s="175">
        <f>SUM(AD75:AE75)</f>
        <v>99864.8</v>
      </c>
    </row>
    <row r="76">
      <c r="W76" s="30"/>
      <c r="X76" s="30"/>
      <c r="Y76" s="30"/>
      <c r="Z76" s="30"/>
      <c r="AA76" s="30"/>
      <c r="AB76" s="30"/>
      <c r="AC76" s="30"/>
      <c r="AD76" s="30"/>
      <c r="AE76" s="30"/>
      <c r="AF76" s="30"/>
    </row>
    <row r="77">
      <c r="A77" s="120">
        <v>45931.0</v>
      </c>
      <c r="B77" s="42" t="s">
        <v>68</v>
      </c>
      <c r="C77" s="43" t="s">
        <v>69</v>
      </c>
      <c r="D77" s="46" t="s">
        <v>28</v>
      </c>
      <c r="E77" s="198"/>
      <c r="F77" s="120">
        <v>45931.0</v>
      </c>
      <c r="G77" s="42" t="s">
        <v>68</v>
      </c>
      <c r="H77" s="43" t="s">
        <v>69</v>
      </c>
      <c r="I77" s="46" t="s">
        <v>28</v>
      </c>
      <c r="J77" s="198"/>
      <c r="K77" s="120">
        <v>45566.0</v>
      </c>
      <c r="L77" s="42" t="s">
        <v>68</v>
      </c>
      <c r="M77" s="43" t="s">
        <v>69</v>
      </c>
      <c r="N77" s="46" t="s">
        <v>28</v>
      </c>
      <c r="O77" s="198"/>
      <c r="P77" s="120">
        <v>45170.0</v>
      </c>
      <c r="Q77" s="42" t="s">
        <v>68</v>
      </c>
      <c r="R77" s="43" t="s">
        <v>69</v>
      </c>
      <c r="S77" s="46" t="s">
        <v>28</v>
      </c>
      <c r="V77" s="126">
        <v>44835.0</v>
      </c>
      <c r="W77" s="177" t="s">
        <v>70</v>
      </c>
      <c r="X77" s="178" t="s">
        <v>68</v>
      </c>
      <c r="Y77" s="179" t="s">
        <v>69</v>
      </c>
      <c r="Z77" s="180" t="s">
        <v>28</v>
      </c>
      <c r="AA77" s="30"/>
      <c r="AB77" s="233">
        <v>44470.0</v>
      </c>
      <c r="AC77" s="177" t="s">
        <v>70</v>
      </c>
      <c r="AD77" s="182" t="s">
        <v>68</v>
      </c>
      <c r="AE77" s="199" t="s">
        <v>69</v>
      </c>
      <c r="AF77" s="184" t="s">
        <v>28</v>
      </c>
    </row>
    <row r="78">
      <c r="A78" s="132" t="s">
        <v>87</v>
      </c>
      <c r="B78" s="88"/>
      <c r="C78" s="85"/>
      <c r="D78" s="133"/>
      <c r="E78" s="34"/>
      <c r="F78" s="132" t="s">
        <v>87</v>
      </c>
      <c r="G78" s="88">
        <v>27141.78</v>
      </c>
      <c r="H78" s="85">
        <v>27244.38</v>
      </c>
      <c r="I78" s="133">
        <f t="shared" ref="I78:I80" si="63">SUM(G78:H78)</f>
        <v>54386.16</v>
      </c>
      <c r="J78" s="34"/>
      <c r="K78" s="132" t="s">
        <v>71</v>
      </c>
      <c r="L78" s="227">
        <v>23869.0</v>
      </c>
      <c r="M78" s="52">
        <v>24579.0</v>
      </c>
      <c r="N78" s="53"/>
      <c r="O78" s="34"/>
      <c r="P78" s="132" t="s">
        <v>72</v>
      </c>
      <c r="Q78" s="85">
        <v>28673.1</v>
      </c>
      <c r="R78" s="85">
        <v>24969.0</v>
      </c>
      <c r="S78" s="85"/>
      <c r="V78" s="185" t="s">
        <v>72</v>
      </c>
      <c r="W78" s="201"/>
      <c r="X78" s="142">
        <v>25793.39</v>
      </c>
      <c r="Y78" s="240">
        <v>25992.51</v>
      </c>
      <c r="Z78" s="203"/>
      <c r="AA78" s="30"/>
      <c r="AB78" s="144" t="s">
        <v>73</v>
      </c>
      <c r="AC78" s="142"/>
      <c r="AD78" s="238">
        <v>19484.92</v>
      </c>
      <c r="AE78" s="238">
        <v>17974.59</v>
      </c>
      <c r="AF78" s="142"/>
    </row>
    <row r="79">
      <c r="A79" s="132" t="s">
        <v>74</v>
      </c>
      <c r="B79" s="146"/>
      <c r="C79" s="146"/>
      <c r="D79" s="133"/>
      <c r="E79" s="34"/>
      <c r="F79" s="132" t="s">
        <v>74</v>
      </c>
      <c r="G79" s="146">
        <v>19500.0</v>
      </c>
      <c r="H79" s="146">
        <v>19500.0</v>
      </c>
      <c r="I79" s="133">
        <f t="shared" si="63"/>
        <v>39000</v>
      </c>
      <c r="J79" s="34"/>
      <c r="K79" s="132" t="s">
        <v>74</v>
      </c>
      <c r="L79" s="228">
        <f>19500+13750</f>
        <v>33250</v>
      </c>
      <c r="M79" s="228">
        <v>19500.0</v>
      </c>
      <c r="N79" s="53"/>
      <c r="O79" s="34"/>
      <c r="P79" s="132" t="s">
        <v>74</v>
      </c>
      <c r="Q79" s="146">
        <v>18000.0</v>
      </c>
      <c r="R79" s="146">
        <v>18000.0</v>
      </c>
      <c r="S79" s="146"/>
      <c r="V79" s="188" t="s">
        <v>75</v>
      </c>
      <c r="W79" s="206"/>
      <c r="X79" s="241">
        <v>25000.0</v>
      </c>
      <c r="Y79" s="241"/>
      <c r="Z79" s="242"/>
      <c r="AA79" s="30"/>
      <c r="AB79" s="144" t="s">
        <v>83</v>
      </c>
      <c r="AC79" s="157"/>
      <c r="AD79" s="207"/>
      <c r="AE79" s="238"/>
      <c r="AF79" s="142"/>
    </row>
    <row r="80">
      <c r="A80" s="154" t="s">
        <v>78</v>
      </c>
      <c r="B80" s="155"/>
      <c r="C80" s="155"/>
      <c r="D80" s="133"/>
      <c r="E80" s="34"/>
      <c r="F80" s="154" t="s">
        <v>78</v>
      </c>
      <c r="G80" s="155">
        <f>8591.91+8643.07</f>
        <v>17234.98</v>
      </c>
      <c r="H80" s="155">
        <f>8624.83+8696.31</f>
        <v>17321.14</v>
      </c>
      <c r="I80" s="133">
        <f t="shared" si="63"/>
        <v>34556.12</v>
      </c>
      <c r="J80" s="34"/>
      <c r="K80" s="154" t="s">
        <v>78</v>
      </c>
      <c r="L80" s="228">
        <f>8362.84+8455.47</f>
        <v>16818.31</v>
      </c>
      <c r="M80" s="228">
        <f>8506.54+8633.06</f>
        <v>17139.6</v>
      </c>
      <c r="N80" s="53"/>
      <c r="O80" s="34"/>
      <c r="P80" s="154" t="s">
        <v>78</v>
      </c>
      <c r="Q80" s="155">
        <f>8372.11+8371.26</f>
        <v>16743.37</v>
      </c>
      <c r="R80" s="155">
        <f>8395.55+8395.92</f>
        <v>16791.47</v>
      </c>
      <c r="S80" s="155"/>
      <c r="V80" s="154" t="s">
        <v>79</v>
      </c>
      <c r="W80" s="208"/>
      <c r="X80" s="243">
        <v>12500.0</v>
      </c>
      <c r="Y80" s="243">
        <v>12500.0</v>
      </c>
      <c r="Z80" s="210"/>
      <c r="AA80" s="30"/>
      <c r="AB80" s="144" t="s">
        <v>80</v>
      </c>
      <c r="AC80" s="157"/>
      <c r="AD80" s="207"/>
      <c r="AE80" s="238"/>
      <c r="AF80" s="142"/>
    </row>
    <row r="81">
      <c r="A81" s="159" t="s">
        <v>37</v>
      </c>
      <c r="B81" s="160">
        <f t="shared" ref="B81:D81" si="64">SUM(B78:B80)</f>
        <v>0</v>
      </c>
      <c r="C81" s="160">
        <f t="shared" si="64"/>
        <v>0</v>
      </c>
      <c r="D81" s="161">
        <f t="shared" si="64"/>
        <v>0</v>
      </c>
      <c r="E81" s="40"/>
      <c r="F81" s="159" t="s">
        <v>37</v>
      </c>
      <c r="G81" s="160">
        <f t="shared" ref="G81:I81" si="65">SUM(G78:G80)</f>
        <v>63876.76</v>
      </c>
      <c r="H81" s="160">
        <f t="shared" si="65"/>
        <v>64065.52</v>
      </c>
      <c r="I81" s="161">
        <f t="shared" si="65"/>
        <v>127942.28</v>
      </c>
      <c r="J81" s="40"/>
      <c r="K81" s="159" t="s">
        <v>37</v>
      </c>
      <c r="L81" s="162">
        <f>L78+L79+L80</f>
        <v>73937.31</v>
      </c>
      <c r="M81" s="162">
        <f>SUM(M78:M80)</f>
        <v>61218.6</v>
      </c>
      <c r="N81" s="163">
        <f>SUM(L81:M81)</f>
        <v>135155.91</v>
      </c>
      <c r="O81" s="40"/>
      <c r="P81" s="159" t="s">
        <v>37</v>
      </c>
      <c r="Q81" s="160">
        <f t="shared" ref="Q81:R81" si="66">SUM(Q78:Q80)</f>
        <v>63416.47</v>
      </c>
      <c r="R81" s="196">
        <f t="shared" si="66"/>
        <v>59760.47</v>
      </c>
      <c r="S81" s="161">
        <f>SUM(Q81:R81)</f>
        <v>123176.94</v>
      </c>
      <c r="V81" s="132" t="s">
        <v>82</v>
      </c>
      <c r="W81" s="30"/>
      <c r="X81" s="142">
        <f>8675.33+8718.14</f>
        <v>17393.47</v>
      </c>
      <c r="Y81" s="244">
        <f>8710.76+8696.44+8564.6</f>
        <v>25971.8</v>
      </c>
      <c r="Z81" s="165"/>
      <c r="AA81" s="30"/>
      <c r="AB81" s="144" t="s">
        <v>76</v>
      </c>
      <c r="AC81" s="239"/>
      <c r="AD81" s="207">
        <v>12500.0</v>
      </c>
      <c r="AE81" s="207">
        <v>12500.0</v>
      </c>
      <c r="AF81" s="165"/>
    </row>
    <row r="82">
      <c r="O82" s="32">
        <v>8642.74</v>
      </c>
      <c r="V82" s="159" t="s">
        <v>37</v>
      </c>
      <c r="W82" s="170">
        <f t="shared" ref="W82:Y82" si="67">SUM(W78:W81)</f>
        <v>0</v>
      </c>
      <c r="X82" s="171">
        <f t="shared" si="67"/>
        <v>80686.86</v>
      </c>
      <c r="Y82" s="172">
        <f t="shared" si="67"/>
        <v>64464.31</v>
      </c>
      <c r="Z82" s="173">
        <f>SUM(X82:Y82)</f>
        <v>145151.17</v>
      </c>
      <c r="AA82" s="30"/>
      <c r="AB82" s="170" t="s">
        <v>37</v>
      </c>
      <c r="AC82" s="170">
        <f>SUM(AC78)</f>
        <v>0</v>
      </c>
      <c r="AD82" s="171">
        <f t="shared" ref="AD82:AE82" si="68">SUM(AD78:AD81)</f>
        <v>31984.92</v>
      </c>
      <c r="AE82" s="172">
        <f t="shared" si="68"/>
        <v>30474.59</v>
      </c>
      <c r="AF82" s="175">
        <f>SUM(AD82:AE82)</f>
        <v>62459.51</v>
      </c>
    </row>
    <row r="83">
      <c r="W83" s="30"/>
      <c r="X83" s="30"/>
      <c r="Y83" s="30"/>
      <c r="Z83" s="30"/>
      <c r="AA83" s="30"/>
      <c r="AB83" s="30"/>
      <c r="AC83" s="30"/>
      <c r="AD83" s="30"/>
      <c r="AE83" s="30"/>
      <c r="AF83" s="30"/>
    </row>
    <row r="84">
      <c r="W84" s="30"/>
      <c r="X84" s="30"/>
      <c r="Y84" s="30"/>
      <c r="Z84" s="30"/>
      <c r="AA84" s="30"/>
      <c r="AB84" s="30"/>
      <c r="AC84" s="30"/>
      <c r="AD84" s="30"/>
      <c r="AE84" s="30"/>
      <c r="AF84" s="30"/>
    </row>
    <row r="85">
      <c r="A85" s="120">
        <v>45962.0</v>
      </c>
      <c r="B85" s="42" t="s">
        <v>68</v>
      </c>
      <c r="C85" s="43" t="s">
        <v>69</v>
      </c>
      <c r="D85" s="46" t="s">
        <v>28</v>
      </c>
      <c r="E85" s="198"/>
      <c r="F85" s="120">
        <v>45962.0</v>
      </c>
      <c r="G85" s="42" t="s">
        <v>68</v>
      </c>
      <c r="H85" s="43" t="s">
        <v>69</v>
      </c>
      <c r="I85" s="46" t="s">
        <v>28</v>
      </c>
      <c r="J85" s="198"/>
      <c r="K85" s="120">
        <v>45597.0</v>
      </c>
      <c r="L85" s="42" t="s">
        <v>68</v>
      </c>
      <c r="M85" s="43" t="s">
        <v>69</v>
      </c>
      <c r="N85" s="46" t="s">
        <v>28</v>
      </c>
      <c r="O85" s="198"/>
      <c r="P85" s="120">
        <v>45200.0</v>
      </c>
      <c r="Q85" s="42" t="s">
        <v>68</v>
      </c>
      <c r="R85" s="43" t="s">
        <v>69</v>
      </c>
      <c r="S85" s="46" t="s">
        <v>28</v>
      </c>
      <c r="V85" s="126">
        <v>44866.0</v>
      </c>
      <c r="W85" s="177" t="s">
        <v>70</v>
      </c>
      <c r="X85" s="178" t="s">
        <v>68</v>
      </c>
      <c r="Y85" s="179" t="s">
        <v>69</v>
      </c>
      <c r="Z85" s="180" t="s">
        <v>28</v>
      </c>
      <c r="AA85" s="30"/>
      <c r="AB85" s="233">
        <v>44501.0</v>
      </c>
      <c r="AC85" s="177" t="s">
        <v>70</v>
      </c>
      <c r="AD85" s="182" t="s">
        <v>68</v>
      </c>
      <c r="AE85" s="179" t="s">
        <v>69</v>
      </c>
      <c r="AF85" s="184" t="s">
        <v>28</v>
      </c>
    </row>
    <row r="86">
      <c r="A86" s="132" t="s">
        <v>87</v>
      </c>
      <c r="B86" s="88"/>
      <c r="C86" s="85"/>
      <c r="D86" s="133"/>
      <c r="E86" s="34"/>
      <c r="F86" s="132" t="s">
        <v>87</v>
      </c>
      <c r="G86" s="88">
        <v>24880.61</v>
      </c>
      <c r="H86" s="85">
        <v>27682.68</v>
      </c>
      <c r="I86" s="133">
        <f t="shared" ref="I86:I88" si="69">SUM(G86:H86)</f>
        <v>52563.29</v>
      </c>
      <c r="J86" s="34"/>
      <c r="K86" s="132" t="s">
        <v>71</v>
      </c>
      <c r="L86" s="227">
        <v>24759.0</v>
      </c>
      <c r="M86" s="245">
        <v>24943.0</v>
      </c>
      <c r="N86" s="53"/>
      <c r="O86" s="34"/>
      <c r="P86" s="132" t="s">
        <v>72</v>
      </c>
      <c r="Q86" s="85">
        <v>24187.01</v>
      </c>
      <c r="R86" s="85">
        <v>24981.22</v>
      </c>
      <c r="S86" s="85"/>
      <c r="V86" s="185" t="s">
        <v>72</v>
      </c>
      <c r="W86" s="201"/>
      <c r="X86" s="142">
        <v>25700.0</v>
      </c>
      <c r="Y86" s="240">
        <v>22975.0</v>
      </c>
      <c r="Z86" s="203"/>
      <c r="AA86" s="30"/>
      <c r="AB86" s="144" t="s">
        <v>73</v>
      </c>
      <c r="AC86" s="246"/>
      <c r="AD86" s="201">
        <v>20934.57</v>
      </c>
      <c r="AE86" s="246">
        <v>14500.0</v>
      </c>
      <c r="AF86" s="142"/>
    </row>
    <row r="87">
      <c r="A87" s="132" t="s">
        <v>74</v>
      </c>
      <c r="B87" s="146"/>
      <c r="C87" s="146"/>
      <c r="D87" s="133"/>
      <c r="E87" s="34"/>
      <c r="F87" s="132" t="s">
        <v>74</v>
      </c>
      <c r="G87" s="146">
        <v>19500.0</v>
      </c>
      <c r="H87" s="146">
        <f>13750+19500</f>
        <v>33250</v>
      </c>
      <c r="I87" s="133">
        <f t="shared" si="69"/>
        <v>52750</v>
      </c>
      <c r="J87" s="34"/>
      <c r="K87" s="132" t="s">
        <v>74</v>
      </c>
      <c r="L87" s="228">
        <v>19500.0</v>
      </c>
      <c r="M87" s="228">
        <f>19500+13750</f>
        <v>33250</v>
      </c>
      <c r="N87" s="53"/>
      <c r="O87" s="34"/>
      <c r="P87" s="132" t="s">
        <v>74</v>
      </c>
      <c r="Q87" s="146">
        <v>18000.0</v>
      </c>
      <c r="R87" s="146">
        <v>18000.0</v>
      </c>
      <c r="S87" s="146"/>
      <c r="V87" s="188" t="s">
        <v>75</v>
      </c>
      <c r="W87" s="206"/>
      <c r="X87" s="241"/>
      <c r="Y87" s="241">
        <v>25000.0</v>
      </c>
      <c r="Z87" s="242"/>
      <c r="AA87" s="30"/>
      <c r="AB87" s="144" t="s">
        <v>83</v>
      </c>
      <c r="AC87" s="157"/>
      <c r="AD87" s="247"/>
      <c r="AE87" s="248">
        <v>12500.0</v>
      </c>
      <c r="AF87" s="142"/>
    </row>
    <row r="88">
      <c r="A88" s="154" t="s">
        <v>78</v>
      </c>
      <c r="B88" s="155"/>
      <c r="C88" s="155"/>
      <c r="D88" s="133"/>
      <c r="E88" s="34"/>
      <c r="F88" s="154" t="s">
        <v>78</v>
      </c>
      <c r="G88" s="155">
        <f>8705.87+8767.64</f>
        <v>17473.51</v>
      </c>
      <c r="H88" s="155">
        <f>8731.45+8738.57+8700.61</f>
        <v>26170.63</v>
      </c>
      <c r="I88" s="133">
        <f t="shared" si="69"/>
        <v>43644.14</v>
      </c>
      <c r="J88" s="34"/>
      <c r="K88" s="154" t="s">
        <v>78</v>
      </c>
      <c r="L88" s="228">
        <f>8642.74+8641.18</f>
        <v>17283.92</v>
      </c>
      <c r="M88" s="228">
        <f>8693.99+8719.59+8669.96</f>
        <v>26083.54</v>
      </c>
      <c r="N88" s="53"/>
      <c r="O88" s="34"/>
      <c r="P88" s="154" t="s">
        <v>78</v>
      </c>
      <c r="Q88" s="155">
        <f>8370.36+8375.39</f>
        <v>16745.75</v>
      </c>
      <c r="R88" s="155">
        <f>8389.91+8384.06+8415.78</f>
        <v>25189.75</v>
      </c>
      <c r="S88" s="155"/>
      <c r="V88" s="154" t="s">
        <v>79</v>
      </c>
      <c r="W88" s="208"/>
      <c r="X88" s="243">
        <v>12500.0</v>
      </c>
      <c r="Y88" s="243">
        <v>18000.0</v>
      </c>
      <c r="Z88" s="210"/>
      <c r="AA88" s="30"/>
      <c r="AB88" s="144" t="s">
        <v>80</v>
      </c>
      <c r="AC88" s="157"/>
      <c r="AD88" s="247"/>
      <c r="AE88" s="249">
        <v>25000.0</v>
      </c>
      <c r="AF88" s="142"/>
    </row>
    <row r="89">
      <c r="A89" s="159" t="s">
        <v>37</v>
      </c>
      <c r="B89" s="160">
        <f t="shared" ref="B89:D89" si="70">SUM(B86:B88)</f>
        <v>0</v>
      </c>
      <c r="C89" s="160">
        <f t="shared" si="70"/>
        <v>0</v>
      </c>
      <c r="D89" s="161">
        <f t="shared" si="70"/>
        <v>0</v>
      </c>
      <c r="E89" s="40"/>
      <c r="F89" s="159" t="s">
        <v>37</v>
      </c>
      <c r="G89" s="160">
        <f t="shared" ref="G89:I89" si="71">SUM(G86:G88)</f>
        <v>61854.12</v>
      </c>
      <c r="H89" s="160">
        <f t="shared" si="71"/>
        <v>87103.31</v>
      </c>
      <c r="I89" s="161">
        <f t="shared" si="71"/>
        <v>148957.43</v>
      </c>
      <c r="J89" s="40"/>
      <c r="K89" s="159" t="s">
        <v>37</v>
      </c>
      <c r="L89" s="162">
        <f>L86+L87+L88</f>
        <v>61542.92</v>
      </c>
      <c r="M89" s="162">
        <f>SUM(M86:M88)</f>
        <v>84276.54</v>
      </c>
      <c r="N89" s="163">
        <f>SUM(L89:M89)</f>
        <v>145819.46</v>
      </c>
      <c r="O89" s="40"/>
      <c r="P89" s="159" t="s">
        <v>37</v>
      </c>
      <c r="Q89" s="160">
        <f t="shared" ref="Q89:R89" si="72">SUM(Q86:Q88)</f>
        <v>58932.76</v>
      </c>
      <c r="R89" s="196">
        <f t="shared" si="72"/>
        <v>68170.97</v>
      </c>
      <c r="S89" s="161">
        <f>SUM(Q89:R89)</f>
        <v>127103.73</v>
      </c>
      <c r="V89" s="132" t="s">
        <v>82</v>
      </c>
      <c r="W89" s="30"/>
      <c r="X89" s="142">
        <f>8622.32+8446.48</f>
        <v>17068.8</v>
      </c>
      <c r="Y89" s="244">
        <f>8455.34+8371.19</f>
        <v>16826.53</v>
      </c>
      <c r="Z89" s="165"/>
      <c r="AA89" s="30"/>
      <c r="AB89" s="144" t="s">
        <v>76</v>
      </c>
      <c r="AC89" s="30"/>
      <c r="AD89" s="248">
        <v>12500.0</v>
      </c>
      <c r="AE89" s="248">
        <v>12500.0</v>
      </c>
      <c r="AF89" s="165"/>
    </row>
    <row r="90">
      <c r="V90" s="159" t="s">
        <v>37</v>
      </c>
      <c r="W90" s="170">
        <f t="shared" ref="W90:Y90" si="73">SUM(W86:W89)</f>
        <v>0</v>
      </c>
      <c r="X90" s="171">
        <f t="shared" si="73"/>
        <v>55268.8</v>
      </c>
      <c r="Y90" s="172">
        <f t="shared" si="73"/>
        <v>82801.53</v>
      </c>
      <c r="Z90" s="173">
        <f>SUM(X90:Y90)</f>
        <v>138070.33</v>
      </c>
      <c r="AA90" s="30"/>
      <c r="AB90" s="170" t="s">
        <v>37</v>
      </c>
      <c r="AC90" s="170">
        <f t="shared" ref="AC90:AE90" si="74">SUM(AC86:AC89)</f>
        <v>0</v>
      </c>
      <c r="AD90" s="171">
        <f t="shared" si="74"/>
        <v>33434.57</v>
      </c>
      <c r="AE90" s="172">
        <f t="shared" si="74"/>
        <v>64500</v>
      </c>
      <c r="AF90" s="175">
        <f>SUM(AD90:AE90)</f>
        <v>97934.57</v>
      </c>
    </row>
    <row r="91">
      <c r="W91" s="30"/>
      <c r="X91" s="30"/>
      <c r="Y91" s="30"/>
      <c r="Z91" s="30"/>
      <c r="AA91" s="30"/>
      <c r="AB91" s="30"/>
      <c r="AC91" s="30"/>
      <c r="AD91" s="30"/>
      <c r="AE91" s="30"/>
      <c r="AF91" s="30"/>
    </row>
    <row r="92">
      <c r="A92" s="120">
        <v>45992.0</v>
      </c>
      <c r="B92" s="42" t="s">
        <v>68</v>
      </c>
      <c r="C92" s="43" t="s">
        <v>69</v>
      </c>
      <c r="D92" s="46" t="s">
        <v>28</v>
      </c>
      <c r="E92" s="198"/>
      <c r="F92" s="120">
        <v>45992.0</v>
      </c>
      <c r="G92" s="42" t="s">
        <v>68</v>
      </c>
      <c r="H92" s="43" t="s">
        <v>69</v>
      </c>
      <c r="I92" s="46" t="s">
        <v>28</v>
      </c>
      <c r="J92" s="198"/>
      <c r="K92" s="120">
        <v>45627.0</v>
      </c>
      <c r="L92" s="42" t="s">
        <v>68</v>
      </c>
      <c r="M92" s="43" t="s">
        <v>69</v>
      </c>
      <c r="N92" s="46" t="s">
        <v>28</v>
      </c>
      <c r="O92" s="198"/>
      <c r="P92" s="120">
        <v>45231.0</v>
      </c>
      <c r="Q92" s="42" t="s">
        <v>68</v>
      </c>
      <c r="R92" s="43" t="s">
        <v>69</v>
      </c>
      <c r="S92" s="46" t="s">
        <v>28</v>
      </c>
      <c r="V92" s="250"/>
      <c r="W92" s="177" t="s">
        <v>70</v>
      </c>
      <c r="X92" s="178" t="s">
        <v>68</v>
      </c>
      <c r="Y92" s="179" t="s">
        <v>69</v>
      </c>
      <c r="Z92" s="180" t="s">
        <v>28</v>
      </c>
      <c r="AA92" s="30"/>
      <c r="AB92" s="233">
        <v>44531.0</v>
      </c>
      <c r="AC92" s="177" t="s">
        <v>70</v>
      </c>
      <c r="AD92" s="182" t="s">
        <v>68</v>
      </c>
      <c r="AE92" s="179" t="s">
        <v>69</v>
      </c>
      <c r="AF92" s="184" t="s">
        <v>28</v>
      </c>
    </row>
    <row r="93">
      <c r="A93" s="132" t="s">
        <v>87</v>
      </c>
      <c r="B93" s="88"/>
      <c r="C93" s="85"/>
      <c r="D93" s="133"/>
      <c r="E93" s="34"/>
      <c r="F93" s="132" t="s">
        <v>87</v>
      </c>
      <c r="G93" s="88">
        <v>56344.2</v>
      </c>
      <c r="H93" s="85" t="s">
        <v>89</v>
      </c>
      <c r="I93" s="133">
        <f t="shared" ref="I93:I95" si="75">SUM(G93:H93)</f>
        <v>56344.2</v>
      </c>
      <c r="J93" s="34"/>
      <c r="K93" s="132" t="s">
        <v>72</v>
      </c>
      <c r="L93" s="85">
        <v>24640.6</v>
      </c>
      <c r="M93" s="85">
        <v>50128.0</v>
      </c>
      <c r="N93" s="133">
        <f t="shared" ref="N93:N95" si="76">SUM(L93:M93)</f>
        <v>74768.6</v>
      </c>
      <c r="O93" s="34"/>
      <c r="P93" s="132" t="s">
        <v>72</v>
      </c>
      <c r="Q93" s="85">
        <v>23395.0</v>
      </c>
      <c r="R93" s="85">
        <v>24359.79</v>
      </c>
      <c r="S93" s="85"/>
      <c r="V93" s="185" t="s">
        <v>72</v>
      </c>
      <c r="W93" s="201"/>
      <c r="X93" s="142">
        <v>24646.0</v>
      </c>
      <c r="Y93" s="251">
        <v>35274.0</v>
      </c>
      <c r="Z93" s="203"/>
      <c r="AA93" s="30"/>
      <c r="AB93" s="144" t="s">
        <v>73</v>
      </c>
      <c r="AC93" s="246"/>
      <c r="AD93" s="201">
        <v>21000.0</v>
      </c>
      <c r="AE93" s="246">
        <v>20044.0</v>
      </c>
      <c r="AF93" s="142"/>
    </row>
    <row r="94">
      <c r="A94" s="132" t="s">
        <v>74</v>
      </c>
      <c r="B94" s="146"/>
      <c r="C94" s="146"/>
      <c r="D94" s="133"/>
      <c r="E94" s="34"/>
      <c r="F94" s="132" t="s">
        <v>74</v>
      </c>
      <c r="G94" s="146">
        <v>19500.0</v>
      </c>
      <c r="H94" s="146">
        <v>19500.0</v>
      </c>
      <c r="I94" s="133">
        <f t="shared" si="75"/>
        <v>39000</v>
      </c>
      <c r="J94" s="34"/>
      <c r="K94" s="132" t="s">
        <v>74</v>
      </c>
      <c r="L94" s="146">
        <v>19500.0</v>
      </c>
      <c r="M94" s="146">
        <v>19500.0</v>
      </c>
      <c r="N94" s="133">
        <f t="shared" si="76"/>
        <v>39000</v>
      </c>
      <c r="O94" s="34"/>
      <c r="P94" s="132" t="s">
        <v>74</v>
      </c>
      <c r="Q94" s="146">
        <v>18000.0</v>
      </c>
      <c r="R94" s="146">
        <v>18000.0</v>
      </c>
      <c r="S94" s="146"/>
      <c r="V94" s="188" t="s">
        <v>75</v>
      </c>
      <c r="W94" s="206"/>
      <c r="X94" s="241"/>
      <c r="Y94" s="241"/>
      <c r="Z94" s="242"/>
      <c r="AA94" s="30"/>
      <c r="AB94" s="144" t="s">
        <v>83</v>
      </c>
      <c r="AC94" s="157"/>
      <c r="AD94" s="247"/>
      <c r="AE94" s="248"/>
      <c r="AF94" s="142"/>
    </row>
    <row r="95">
      <c r="A95" s="154" t="s">
        <v>78</v>
      </c>
      <c r="B95" s="155"/>
      <c r="C95" s="155"/>
      <c r="D95" s="133"/>
      <c r="E95" s="34"/>
      <c r="F95" s="154" t="s">
        <v>78</v>
      </c>
      <c r="G95" s="155">
        <f>8754.15+8757.11</f>
        <v>17511.26</v>
      </c>
      <c r="H95" s="155">
        <f>8711.14+8712.92</f>
        <v>17424.06</v>
      </c>
      <c r="I95" s="133">
        <f t="shared" si="75"/>
        <v>34935.32</v>
      </c>
      <c r="J95" s="34"/>
      <c r="K95" s="154" t="s">
        <v>78</v>
      </c>
      <c r="L95" s="155">
        <f>37720.03+8554.07</f>
        <v>46274.1</v>
      </c>
      <c r="M95" s="155">
        <f>8679.35+8688.52+8523.3</f>
        <v>25891.17</v>
      </c>
      <c r="N95" s="133">
        <f t="shared" si="76"/>
        <v>72165.27</v>
      </c>
      <c r="O95" s="34"/>
      <c r="P95" s="154" t="s">
        <v>78</v>
      </c>
      <c r="Q95" s="155">
        <f>8270+8259.03</f>
        <v>16529.03</v>
      </c>
      <c r="R95" s="155">
        <f>8198.74+8187.95</f>
        <v>16386.69</v>
      </c>
      <c r="S95" s="155"/>
      <c r="V95" s="154" t="s">
        <v>79</v>
      </c>
      <c r="W95" s="208"/>
      <c r="X95" s="243">
        <v>18000.0</v>
      </c>
      <c r="Y95" s="243">
        <v>18000.0</v>
      </c>
      <c r="Z95" s="210"/>
      <c r="AA95" s="30"/>
      <c r="AB95" s="144" t="s">
        <v>80</v>
      </c>
      <c r="AC95" s="157"/>
      <c r="AD95" s="247"/>
      <c r="AE95" s="249"/>
      <c r="AF95" s="142"/>
    </row>
    <row r="96">
      <c r="A96" s="159" t="s">
        <v>37</v>
      </c>
      <c r="B96" s="160">
        <f t="shared" ref="B96:D96" si="77">SUM(B93:B95)</f>
        <v>0</v>
      </c>
      <c r="C96" s="160">
        <f t="shared" si="77"/>
        <v>0</v>
      </c>
      <c r="D96" s="161">
        <f t="shared" si="77"/>
        <v>0</v>
      </c>
      <c r="E96" s="40"/>
      <c r="F96" s="159" t="s">
        <v>37</v>
      </c>
      <c r="G96" s="160">
        <f t="shared" ref="G96:I96" si="78">SUM(G93:G95)</f>
        <v>93355.46</v>
      </c>
      <c r="H96" s="160">
        <f t="shared" si="78"/>
        <v>36924.06</v>
      </c>
      <c r="I96" s="161">
        <f t="shared" si="78"/>
        <v>130279.52</v>
      </c>
      <c r="J96" s="40"/>
      <c r="K96" s="159" t="s">
        <v>37</v>
      </c>
      <c r="L96" s="160">
        <f t="shared" ref="L96:N96" si="79">SUM(L93:L95)</f>
        <v>90414.7</v>
      </c>
      <c r="M96" s="160">
        <f t="shared" si="79"/>
        <v>95519.17</v>
      </c>
      <c r="N96" s="161">
        <f t="shared" si="79"/>
        <v>185933.87</v>
      </c>
      <c r="O96" s="40"/>
      <c r="P96" s="159" t="s">
        <v>37</v>
      </c>
      <c r="Q96" s="160">
        <f t="shared" ref="Q96:R96" si="80">SUM(Q93:Q95)</f>
        <v>57924.03</v>
      </c>
      <c r="R96" s="196">
        <f t="shared" si="80"/>
        <v>58746.48</v>
      </c>
      <c r="S96" s="161">
        <f>SUM(Q96:R96)</f>
        <v>116670.51</v>
      </c>
      <c r="V96" s="132" t="s">
        <v>82</v>
      </c>
      <c r="W96" s="30"/>
      <c r="X96" s="142">
        <f>8230.96+33119+8173.59</f>
        <v>49523.55</v>
      </c>
      <c r="Y96" s="244">
        <f>8194.77+8152.77+8224.35</f>
        <v>24571.89</v>
      </c>
      <c r="Z96" s="165"/>
      <c r="AA96" s="30"/>
      <c r="AB96" s="144" t="s">
        <v>76</v>
      </c>
      <c r="AC96" s="30"/>
      <c r="AD96" s="248">
        <v>12500.0</v>
      </c>
      <c r="AE96" s="248">
        <v>12500.0</v>
      </c>
      <c r="AF96" s="165"/>
    </row>
    <row r="97">
      <c r="V97" s="159" t="s">
        <v>37</v>
      </c>
      <c r="W97" s="170">
        <f t="shared" ref="W97:Y97" si="81">SUM(W93:W96)</f>
        <v>0</v>
      </c>
      <c r="X97" s="171">
        <f t="shared" si="81"/>
        <v>92169.55</v>
      </c>
      <c r="Y97" s="172">
        <f t="shared" si="81"/>
        <v>77845.89</v>
      </c>
      <c r="Z97" s="173">
        <f>SUM(X97:Y97)</f>
        <v>170015.44</v>
      </c>
      <c r="AA97" s="30"/>
      <c r="AB97" s="170" t="s">
        <v>37</v>
      </c>
      <c r="AC97" s="170">
        <f t="shared" ref="AC97:AE97" si="82">SUM(AC93:AC96)</f>
        <v>0</v>
      </c>
      <c r="AD97" s="171">
        <f t="shared" si="82"/>
        <v>33500</v>
      </c>
      <c r="AE97" s="172">
        <f t="shared" si="82"/>
        <v>32544</v>
      </c>
      <c r="AF97" s="175">
        <f>SUM(AD97:AE97)</f>
        <v>66044</v>
      </c>
    </row>
    <row r="99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1"/>
      <c r="Q99" s="42" t="s">
        <v>68</v>
      </c>
      <c r="R99" s="43" t="s">
        <v>69</v>
      </c>
      <c r="S99" s="46" t="s">
        <v>28</v>
      </c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132" t="s">
        <v>72</v>
      </c>
      <c r="Q100" s="85">
        <v>25178.0</v>
      </c>
      <c r="R100" s="85">
        <v>24557.07</v>
      </c>
      <c r="S100" s="133">
        <f t="shared" ref="S100:S102" si="83">SUM(Q100:R100)</f>
        <v>49735.07</v>
      </c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132" t="s">
        <v>74</v>
      </c>
      <c r="Q101" s="146">
        <v>18000.0</v>
      </c>
      <c r="R101" s="146">
        <v>26000.0</v>
      </c>
      <c r="S101" s="133">
        <f t="shared" si="83"/>
        <v>44000</v>
      </c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154" t="s">
        <v>78</v>
      </c>
      <c r="Q102" s="155">
        <f>8183.98+8196.37+32000</f>
        <v>48380.35</v>
      </c>
      <c r="R102" s="155">
        <f>8250.36+8185.35+8183.5</f>
        <v>24619.21</v>
      </c>
      <c r="S102" s="133">
        <f t="shared" si="83"/>
        <v>72999.56</v>
      </c>
    </row>
    <row r="10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159" t="s">
        <v>37</v>
      </c>
      <c r="Q103" s="160"/>
      <c r="R103" s="160"/>
      <c r="S103" s="161">
        <f>SUM(S100:S102)</f>
        <v>166734.63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8" width="13.75"/>
    <col customWidth="1" min="19" max="33" width="10.13"/>
    <col customWidth="1" min="34" max="35" width="13.75"/>
    <col customWidth="1" min="36" max="36" width="6.63"/>
    <col customWidth="1" min="37" max="37" width="7.13"/>
    <col customWidth="1" min="38" max="38" width="9.0"/>
    <col customWidth="1" min="39" max="39" width="10.63"/>
    <col customWidth="1" min="40" max="40" width="6.75"/>
    <col customWidth="1" min="41" max="41" width="7.88"/>
    <col customWidth="1" min="42" max="42" width="8.0"/>
    <col customWidth="1" min="43" max="43" width="8.75"/>
    <col customWidth="1" min="44" max="44" width="12.63"/>
    <col customWidth="1" min="45" max="45" width="12.13"/>
    <col customWidth="1" min="46" max="46" width="10.88"/>
    <col customWidth="1" min="47" max="47" width="13.25"/>
    <col customWidth="1" min="48" max="48" width="6.63"/>
    <col customWidth="1" min="49" max="49" width="12.88"/>
    <col customWidth="1" min="50" max="51" width="13.38"/>
    <col customWidth="1" min="67" max="67" width="18.25"/>
    <col customWidth="1" min="68" max="68" width="10.0"/>
    <col customWidth="1" min="69" max="69" width="9.38"/>
    <col customWidth="1" min="70" max="70" width="7.5"/>
    <col customWidth="1" min="71" max="71" width="9.0"/>
    <col customWidth="1" min="72" max="72" width="8.63"/>
    <col customWidth="1" min="73" max="73" width="6.13"/>
    <col customWidth="1" min="74" max="74" width="13.13"/>
    <col customWidth="1" min="75" max="75" width="8.88"/>
    <col customWidth="1" min="76" max="76" width="11.13"/>
    <col customWidth="1" min="77" max="77" width="8.75"/>
    <col customWidth="1" min="78" max="78" width="7.5"/>
    <col customWidth="1" min="79" max="79" width="8.13"/>
    <col customWidth="1" min="80" max="80" width="10.0"/>
    <col customWidth="1" min="81" max="81" width="8.5"/>
    <col customWidth="1" min="82" max="82" width="9.0"/>
    <col customWidth="1" min="83" max="83" width="9.63"/>
    <col customWidth="1" min="84" max="84" width="11.63"/>
    <col customWidth="1" min="85" max="85" width="6.13"/>
    <col customWidth="1" min="86" max="86" width="10.25"/>
    <col customWidth="1" min="87" max="88" width="9.0"/>
    <col customWidth="1" min="89" max="89" width="8.63"/>
    <col customWidth="1" min="90" max="90" width="7.63"/>
    <col customWidth="1" min="91" max="91" width="11.38"/>
    <col customWidth="1" min="92" max="92" width="11.25"/>
    <col customWidth="1" min="93" max="93" width="11.13"/>
    <col customWidth="1" min="94" max="94" width="8.75"/>
    <col customWidth="1" min="95" max="95" width="8.13"/>
    <col customWidth="1" min="96" max="96" width="10.88"/>
    <col customWidth="1" min="97" max="97" width="11.13"/>
    <col customWidth="1" min="98" max="98" width="10.38"/>
    <col customWidth="1" min="99" max="99" width="6.63"/>
    <col customWidth="1" min="100" max="100" width="9.63"/>
    <col customWidth="1" min="101" max="101" width="16.63"/>
  </cols>
  <sheetData>
    <row r="1" hidden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252">
        <v>44013.0</v>
      </c>
      <c r="BP1" s="252" t="s">
        <v>90</v>
      </c>
      <c r="BQ1" s="252" t="s">
        <v>91</v>
      </c>
      <c r="BR1" s="252" t="s">
        <v>3</v>
      </c>
      <c r="BS1" s="252" t="s">
        <v>4</v>
      </c>
      <c r="BT1" s="252" t="s">
        <v>92</v>
      </c>
      <c r="BU1" s="252" t="s">
        <v>93</v>
      </c>
      <c r="BV1" s="252" t="s">
        <v>94</v>
      </c>
      <c r="BW1" s="252" t="s">
        <v>95</v>
      </c>
      <c r="BX1" s="252" t="s">
        <v>96</v>
      </c>
      <c r="BY1" s="252" t="s">
        <v>9</v>
      </c>
      <c r="BZ1" s="253" t="s">
        <v>97</v>
      </c>
      <c r="CA1" s="252" t="s">
        <v>98</v>
      </c>
      <c r="CB1" s="252" t="s">
        <v>99</v>
      </c>
      <c r="CC1" s="252" t="s">
        <v>13</v>
      </c>
      <c r="CD1" s="252" t="s">
        <v>14</v>
      </c>
      <c r="CE1" s="254"/>
      <c r="CF1" s="255"/>
      <c r="CG1" s="255"/>
      <c r="CH1" s="255"/>
      <c r="CI1" s="255"/>
      <c r="CJ1" s="255"/>
      <c r="CK1" s="255"/>
      <c r="CL1" s="255"/>
      <c r="CM1" s="255"/>
      <c r="CN1" s="255"/>
      <c r="CO1" s="255"/>
      <c r="CP1" s="255"/>
      <c r="CQ1" s="255"/>
      <c r="CR1" s="255"/>
      <c r="CS1" s="255"/>
      <c r="CT1" s="255"/>
      <c r="CU1" s="255"/>
      <c r="CV1" s="255"/>
      <c r="CW1" s="255"/>
    </row>
    <row r="2" hidden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256" t="s">
        <v>100</v>
      </c>
      <c r="BP2" s="256">
        <v>3000.0</v>
      </c>
      <c r="BQ2" s="256">
        <v>4500.0</v>
      </c>
      <c r="BR2" s="256">
        <v>1911.0</v>
      </c>
      <c r="BS2" s="256">
        <v>3000.0</v>
      </c>
      <c r="BT2" s="256">
        <v>330.0</v>
      </c>
      <c r="BU2" s="256">
        <v>300.0</v>
      </c>
      <c r="BV2" s="256">
        <v>0.0</v>
      </c>
      <c r="BW2" s="256">
        <v>0.0</v>
      </c>
      <c r="BX2" s="256">
        <v>2220.0</v>
      </c>
      <c r="BY2" s="256">
        <v>15851.0</v>
      </c>
      <c r="BZ2" s="257">
        <v>1655.0</v>
      </c>
      <c r="CA2" s="256">
        <v>1024.0</v>
      </c>
      <c r="CB2" s="256">
        <v>2905.0</v>
      </c>
      <c r="CC2" s="256">
        <v>1352.0</v>
      </c>
      <c r="CD2" s="256">
        <v>7556.0</v>
      </c>
      <c r="CE2" s="258">
        <f>SUM(BP2:CD2)</f>
        <v>45604</v>
      </c>
      <c r="CF2" s="256" t="s">
        <v>101</v>
      </c>
      <c r="CG2" s="256"/>
      <c r="CH2" s="256"/>
      <c r="CI2" s="256"/>
      <c r="CJ2" s="256"/>
      <c r="CK2" s="256"/>
      <c r="CL2" s="256"/>
      <c r="CM2" s="256"/>
      <c r="CN2" s="256"/>
      <c r="CO2" s="256"/>
      <c r="CP2" s="256"/>
      <c r="CQ2" s="256"/>
      <c r="CR2" s="256"/>
      <c r="CS2" s="256"/>
      <c r="CT2" s="256"/>
      <c r="CU2" s="256"/>
      <c r="CV2" s="256"/>
      <c r="CW2" s="256"/>
    </row>
    <row r="3" hidden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256" t="s">
        <v>102</v>
      </c>
      <c r="BP3" s="259">
        <v>1500.0</v>
      </c>
      <c r="BQ3" s="259">
        <v>0.0</v>
      </c>
      <c r="BR3" s="259">
        <v>89.0</v>
      </c>
      <c r="BS3" s="259">
        <v>500.0</v>
      </c>
      <c r="BT3" s="259">
        <v>170.0</v>
      </c>
      <c r="BU3" s="259">
        <v>200.0</v>
      </c>
      <c r="BV3" s="259">
        <v>500.0</v>
      </c>
      <c r="BW3" s="259">
        <v>6500.0</v>
      </c>
      <c r="BX3" s="259">
        <v>-220.0</v>
      </c>
      <c r="BY3" s="259">
        <v>-5851.0</v>
      </c>
      <c r="BZ3" s="260">
        <v>345.0</v>
      </c>
      <c r="CA3" s="259">
        <v>-24.0</v>
      </c>
      <c r="CB3" s="259">
        <v>595.1469999999999</v>
      </c>
      <c r="CC3" s="259">
        <v>1648.0</v>
      </c>
      <c r="CD3" s="259">
        <v>-5556.0</v>
      </c>
      <c r="CE3" s="259">
        <v>396.14699999999993</v>
      </c>
      <c r="CF3" s="259"/>
      <c r="CG3" s="259"/>
      <c r="CH3" s="259"/>
      <c r="CI3" s="259"/>
      <c r="CJ3" s="259"/>
      <c r="CK3" s="259"/>
      <c r="CL3" s="259"/>
      <c r="CM3" s="259"/>
      <c r="CN3" s="259"/>
      <c r="CO3" s="259"/>
      <c r="CP3" s="259"/>
      <c r="CQ3" s="259"/>
      <c r="CR3" s="259"/>
      <c r="CS3" s="259"/>
      <c r="CT3" s="259"/>
      <c r="CU3" s="259"/>
      <c r="CV3" s="259"/>
      <c r="CW3" s="259"/>
    </row>
    <row r="4" hidden="1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259"/>
      <c r="BP4" s="259"/>
      <c r="BQ4" s="259"/>
      <c r="BR4" s="259"/>
      <c r="BS4" s="259"/>
      <c r="BT4" s="259"/>
      <c r="BU4" s="259"/>
      <c r="BV4" s="259"/>
      <c r="BW4" s="259"/>
      <c r="BX4" s="259"/>
      <c r="BY4" s="259"/>
      <c r="BZ4" s="260"/>
      <c r="CA4" s="259"/>
      <c r="CB4" s="259"/>
      <c r="CC4" s="259"/>
      <c r="CD4" s="259"/>
      <c r="CE4" s="259"/>
      <c r="CF4" s="259"/>
      <c r="CG4" s="259"/>
      <c r="CH4" s="259"/>
      <c r="CI4" s="259"/>
      <c r="CJ4" s="259"/>
      <c r="CK4" s="259"/>
      <c r="CL4" s="259"/>
      <c r="CM4" s="259"/>
      <c r="CN4" s="259"/>
      <c r="CO4" s="259"/>
      <c r="CP4" s="259"/>
      <c r="CQ4" s="259"/>
      <c r="CR4" s="259"/>
      <c r="CS4" s="259"/>
      <c r="CT4" s="259"/>
      <c r="CU4" s="259"/>
      <c r="CV4" s="259"/>
      <c r="CW4" s="259"/>
    </row>
    <row r="5" hidden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259"/>
      <c r="BP5" s="259"/>
      <c r="BQ5" s="259"/>
      <c r="BR5" s="259"/>
      <c r="BS5" s="259"/>
      <c r="BT5" s="259"/>
      <c r="BU5" s="259"/>
      <c r="BV5" s="259"/>
      <c r="BW5" s="259"/>
      <c r="BX5" s="259"/>
      <c r="BY5" s="259"/>
      <c r="BZ5" s="260"/>
      <c r="CA5" s="259"/>
      <c r="CB5" s="259"/>
      <c r="CC5" s="259"/>
      <c r="CD5" s="259"/>
      <c r="CE5" s="259"/>
      <c r="CF5" s="259"/>
      <c r="CG5" s="259"/>
      <c r="CH5" s="259"/>
      <c r="CI5" s="259"/>
      <c r="CJ5" s="259"/>
      <c r="CK5" s="259"/>
      <c r="CL5" s="259"/>
      <c r="CM5" s="259"/>
      <c r="CN5" s="259"/>
      <c r="CO5" s="259"/>
      <c r="CP5" s="259"/>
      <c r="CQ5" s="259"/>
      <c r="CR5" s="259"/>
      <c r="CS5" s="259"/>
      <c r="CT5" s="259"/>
      <c r="CU5" s="259"/>
      <c r="CV5" s="259"/>
      <c r="CW5" s="259"/>
    </row>
    <row r="6" hidden="1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261">
        <v>44044.0</v>
      </c>
      <c r="BP6" s="261"/>
      <c r="BQ6" s="261" t="s">
        <v>91</v>
      </c>
      <c r="BR6" s="261" t="s">
        <v>3</v>
      </c>
      <c r="BS6" s="261" t="s">
        <v>4</v>
      </c>
      <c r="BT6" s="261" t="s">
        <v>92</v>
      </c>
      <c r="BU6" s="261" t="s">
        <v>93</v>
      </c>
      <c r="BV6" s="261" t="s">
        <v>94</v>
      </c>
      <c r="BW6" s="261" t="s">
        <v>95</v>
      </c>
      <c r="BX6" s="261" t="s">
        <v>96</v>
      </c>
      <c r="BY6" s="261" t="s">
        <v>9</v>
      </c>
      <c r="BZ6" s="262" t="s">
        <v>97</v>
      </c>
      <c r="CA6" s="261" t="s">
        <v>98</v>
      </c>
      <c r="CB6" s="261" t="s">
        <v>99</v>
      </c>
      <c r="CC6" s="261" t="s">
        <v>13</v>
      </c>
      <c r="CD6" s="261" t="s">
        <v>14</v>
      </c>
      <c r="CE6" s="254"/>
      <c r="CF6" s="259"/>
      <c r="CG6" s="259"/>
      <c r="CH6" s="259"/>
      <c r="CI6" s="259"/>
      <c r="CJ6" s="259"/>
      <c r="CK6" s="259"/>
      <c r="CL6" s="259"/>
      <c r="CM6" s="259"/>
      <c r="CN6" s="259"/>
      <c r="CO6" s="259"/>
      <c r="CP6" s="259"/>
      <c r="CQ6" s="259"/>
      <c r="CR6" s="259"/>
      <c r="CS6" s="259"/>
      <c r="CT6" s="259"/>
      <c r="CU6" s="259"/>
      <c r="CV6" s="259"/>
      <c r="CW6" s="259"/>
    </row>
    <row r="7" hidden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256" t="s">
        <v>100</v>
      </c>
      <c r="BP7" s="259"/>
      <c r="BQ7" s="256">
        <v>4500.0</v>
      </c>
      <c r="BR7" s="256">
        <v>1899.0</v>
      </c>
      <c r="BS7" s="256">
        <v>6175.0</v>
      </c>
      <c r="BT7" s="256">
        <v>250.0</v>
      </c>
      <c r="BU7" s="256">
        <v>0.0</v>
      </c>
      <c r="BV7" s="256">
        <v>0.0</v>
      </c>
      <c r="BW7" s="256">
        <v>0.0</v>
      </c>
      <c r="BX7" s="256">
        <v>2890.0</v>
      </c>
      <c r="BY7" s="256">
        <v>17595.0</v>
      </c>
      <c r="BZ7" s="257">
        <v>661.0</v>
      </c>
      <c r="CA7" s="256">
        <v>1241.0</v>
      </c>
      <c r="CB7" s="256">
        <v>3642.067</v>
      </c>
      <c r="CC7" s="256">
        <v>2883.402</v>
      </c>
      <c r="CD7" s="256">
        <v>29306.0</v>
      </c>
      <c r="CE7" s="263">
        <f t="shared" ref="CE7:CE8" si="1">SUM(BQ7:CD7)</f>
        <v>71042.469</v>
      </c>
      <c r="CF7" s="256" t="s">
        <v>101</v>
      </c>
      <c r="CG7" s="256"/>
      <c r="CH7" s="256"/>
      <c r="CI7" s="256"/>
      <c r="CJ7" s="256"/>
      <c r="CK7" s="256"/>
      <c r="CL7" s="256"/>
      <c r="CM7" s="256"/>
      <c r="CN7" s="256"/>
      <c r="CO7" s="256"/>
      <c r="CP7" s="256"/>
      <c r="CQ7" s="256"/>
      <c r="CR7" s="256"/>
      <c r="CS7" s="256"/>
      <c r="CT7" s="256"/>
      <c r="CU7" s="256"/>
      <c r="CV7" s="256"/>
      <c r="CW7" s="256"/>
    </row>
    <row r="8" hidden="1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256" t="s">
        <v>102</v>
      </c>
      <c r="BP8" s="259"/>
      <c r="BQ8" s="256">
        <v>0.0</v>
      </c>
      <c r="BR8" s="256">
        <v>101.0</v>
      </c>
      <c r="BS8" s="256">
        <v>-2675.0</v>
      </c>
      <c r="BT8" s="256">
        <v>250.0</v>
      </c>
      <c r="BU8" s="256">
        <v>500.0</v>
      </c>
      <c r="BV8" s="256">
        <v>500.0</v>
      </c>
      <c r="BW8" s="256">
        <v>6500.0</v>
      </c>
      <c r="BX8" s="256">
        <v>-890.0</v>
      </c>
      <c r="BY8" s="256">
        <v>-7595.0</v>
      </c>
      <c r="BZ8" s="257">
        <v>1339.0</v>
      </c>
      <c r="CA8" s="256">
        <v>241.0</v>
      </c>
      <c r="CB8" s="256">
        <v>58.0</v>
      </c>
      <c r="CC8" s="256">
        <v>117.0</v>
      </c>
      <c r="CD8" s="256">
        <v>-27306.0</v>
      </c>
      <c r="CE8" s="259">
        <f t="shared" si="1"/>
        <v>-28860</v>
      </c>
      <c r="CF8" s="259"/>
      <c r="CG8" s="259"/>
      <c r="CH8" s="259"/>
      <c r="CI8" s="259"/>
      <c r="CJ8" s="259"/>
      <c r="CK8" s="259"/>
      <c r="CL8" s="259"/>
      <c r="CM8" s="259"/>
      <c r="CN8" s="259"/>
      <c r="CO8" s="259"/>
      <c r="CP8" s="259"/>
      <c r="CQ8" s="259"/>
      <c r="CR8" s="259"/>
      <c r="CS8" s="259"/>
      <c r="CT8" s="259"/>
      <c r="CU8" s="259"/>
      <c r="CV8" s="259"/>
      <c r="CW8" s="259"/>
    </row>
    <row r="9" hidden="1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259"/>
      <c r="BP9" s="259"/>
      <c r="BQ9" s="259"/>
      <c r="BR9" s="259"/>
      <c r="BS9" s="259"/>
      <c r="BT9" s="259"/>
      <c r="BU9" s="259"/>
      <c r="BV9" s="259"/>
      <c r="BW9" s="259"/>
      <c r="BX9" s="259"/>
      <c r="BY9" s="259"/>
      <c r="BZ9" s="260"/>
      <c r="CA9" s="259"/>
      <c r="CB9" s="259"/>
      <c r="CC9" s="259"/>
      <c r="CD9" s="259"/>
      <c r="CE9" s="259"/>
      <c r="CF9" s="259"/>
      <c r="CG9" s="259"/>
      <c r="CH9" s="259"/>
      <c r="CI9" s="259"/>
      <c r="CJ9" s="259"/>
      <c r="CK9" s="259"/>
      <c r="CL9" s="259"/>
      <c r="CM9" s="259"/>
      <c r="CN9" s="259"/>
      <c r="CO9" s="259"/>
      <c r="CP9" s="259"/>
      <c r="CQ9" s="259"/>
      <c r="CR9" s="259"/>
      <c r="CS9" s="259"/>
      <c r="CT9" s="259"/>
      <c r="CU9" s="259"/>
      <c r="CV9" s="259"/>
      <c r="CW9" s="259"/>
    </row>
    <row r="10" hidden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259"/>
      <c r="BP10" s="259"/>
      <c r="BQ10" s="259"/>
      <c r="BR10" s="259"/>
      <c r="BS10" s="259"/>
      <c r="BT10" s="259"/>
      <c r="BU10" s="259"/>
      <c r="BV10" s="259"/>
      <c r="BW10" s="259"/>
      <c r="BX10" s="259"/>
      <c r="BY10" s="259"/>
      <c r="BZ10" s="260"/>
      <c r="CA10" s="259"/>
      <c r="CB10" s="259"/>
      <c r="CC10" s="259"/>
      <c r="CD10" s="259"/>
      <c r="CE10" s="259"/>
      <c r="CF10" s="259"/>
      <c r="CG10" s="259"/>
      <c r="CH10" s="259"/>
      <c r="CI10" s="259"/>
      <c r="CJ10" s="259"/>
      <c r="CK10" s="259"/>
      <c r="CL10" s="259"/>
      <c r="CM10" s="259"/>
      <c r="CN10" s="259"/>
      <c r="CO10" s="259"/>
      <c r="CP10" s="259"/>
      <c r="CQ10" s="259"/>
      <c r="CR10" s="259"/>
      <c r="CS10" s="259"/>
      <c r="CT10" s="259"/>
      <c r="CU10" s="259"/>
      <c r="CV10" s="259"/>
      <c r="CW10" s="259"/>
    </row>
    <row r="11" hidden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252">
        <v>44075.0</v>
      </c>
      <c r="BP11" s="252"/>
      <c r="BQ11" s="252" t="s">
        <v>91</v>
      </c>
      <c r="BR11" s="252" t="s">
        <v>3</v>
      </c>
      <c r="BS11" s="252" t="s">
        <v>4</v>
      </c>
      <c r="BT11" s="252" t="s">
        <v>92</v>
      </c>
      <c r="BU11" s="252" t="s">
        <v>93</v>
      </c>
      <c r="BV11" s="252" t="s">
        <v>94</v>
      </c>
      <c r="BW11" s="252" t="s">
        <v>95</v>
      </c>
      <c r="BX11" s="252" t="s">
        <v>96</v>
      </c>
      <c r="BY11" s="252" t="s">
        <v>9</v>
      </c>
      <c r="BZ11" s="253" t="s">
        <v>97</v>
      </c>
      <c r="CA11" s="252" t="s">
        <v>98</v>
      </c>
      <c r="CB11" s="252" t="s">
        <v>99</v>
      </c>
      <c r="CC11" s="252" t="s">
        <v>13</v>
      </c>
      <c r="CD11" s="252" t="s">
        <v>14</v>
      </c>
      <c r="CE11" s="254"/>
      <c r="CF11" s="255"/>
      <c r="CG11" s="255"/>
      <c r="CH11" s="255"/>
      <c r="CI11" s="255"/>
      <c r="CJ11" s="255"/>
      <c r="CK11" s="255"/>
      <c r="CL11" s="255"/>
      <c r="CM11" s="255"/>
      <c r="CN11" s="255"/>
      <c r="CO11" s="255"/>
      <c r="CP11" s="255"/>
      <c r="CQ11" s="255"/>
      <c r="CR11" s="255"/>
      <c r="CS11" s="255"/>
      <c r="CT11" s="255"/>
      <c r="CU11" s="255"/>
      <c r="CV11" s="255"/>
      <c r="CW11" s="255"/>
    </row>
    <row r="12" hidden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256" t="s">
        <v>100</v>
      </c>
      <c r="BP12" s="259"/>
      <c r="BQ12" s="256">
        <v>4500.0</v>
      </c>
      <c r="BR12" s="256">
        <v>1899.0</v>
      </c>
      <c r="BS12" s="256">
        <v>2960.0</v>
      </c>
      <c r="BT12" s="256">
        <v>150.0</v>
      </c>
      <c r="BU12" s="256">
        <v>0.0</v>
      </c>
      <c r="BV12" s="256">
        <v>0.0</v>
      </c>
      <c r="BW12" s="256">
        <v>20000.0</v>
      </c>
      <c r="BX12" s="256">
        <v>1710.0</v>
      </c>
      <c r="BY12" s="256">
        <v>10779.2</v>
      </c>
      <c r="BZ12" s="257">
        <v>654.0</v>
      </c>
      <c r="CA12" s="256">
        <v>948.0</v>
      </c>
      <c r="CB12" s="256">
        <v>3783.6</v>
      </c>
      <c r="CC12" s="256">
        <v>2867.722</v>
      </c>
      <c r="CD12" s="256">
        <v>10144.3</v>
      </c>
      <c r="CE12" s="258">
        <v>60396.0</v>
      </c>
      <c r="CF12" s="256" t="s">
        <v>101</v>
      </c>
      <c r="CG12" s="256"/>
      <c r="CH12" s="256"/>
      <c r="CI12" s="256"/>
      <c r="CJ12" s="256"/>
      <c r="CK12" s="256"/>
      <c r="CL12" s="256"/>
      <c r="CM12" s="256"/>
      <c r="CN12" s="256"/>
      <c r="CO12" s="256"/>
      <c r="CP12" s="256"/>
      <c r="CQ12" s="256"/>
      <c r="CR12" s="256"/>
      <c r="CS12" s="256"/>
      <c r="CT12" s="256"/>
      <c r="CU12" s="256"/>
      <c r="CV12" s="256"/>
      <c r="CW12" s="256"/>
    </row>
    <row r="13" hidden="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256" t="s">
        <v>102</v>
      </c>
      <c r="BP13" s="259"/>
      <c r="BQ13" s="256">
        <v>0.0</v>
      </c>
      <c r="BR13" s="256">
        <v>101.0</v>
      </c>
      <c r="BS13" s="256">
        <v>540.0</v>
      </c>
      <c r="BT13" s="256">
        <v>350.0</v>
      </c>
      <c r="BU13" s="256">
        <v>500.0</v>
      </c>
      <c r="BV13" s="256">
        <v>500.0</v>
      </c>
      <c r="BW13" s="256">
        <v>-13500.0</v>
      </c>
      <c r="BX13" s="256">
        <v>290.0</v>
      </c>
      <c r="BY13" s="256">
        <v>-779.0</v>
      </c>
      <c r="BZ13" s="257">
        <v>1346.0</v>
      </c>
      <c r="CA13" s="256">
        <v>52.0</v>
      </c>
      <c r="CB13" s="256">
        <v>16.0</v>
      </c>
      <c r="CC13" s="256">
        <v>132.0</v>
      </c>
      <c r="CD13" s="256">
        <v>5144.0</v>
      </c>
      <c r="CE13" s="256">
        <v>-15596.0</v>
      </c>
      <c r="CF13" s="259"/>
      <c r="CG13" s="259"/>
      <c r="CH13" s="259"/>
      <c r="CI13" s="259"/>
      <c r="CJ13" s="259"/>
      <c r="CK13" s="259"/>
      <c r="CL13" s="259"/>
      <c r="CM13" s="259"/>
      <c r="CN13" s="259"/>
      <c r="CO13" s="259"/>
      <c r="CP13" s="259"/>
      <c r="CQ13" s="259"/>
      <c r="CR13" s="259"/>
      <c r="CS13" s="259"/>
      <c r="CT13" s="259"/>
      <c r="CU13" s="259"/>
      <c r="CV13" s="259"/>
      <c r="CW13" s="259"/>
    </row>
    <row r="14" hidden="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259"/>
      <c r="BP14" s="259"/>
      <c r="BQ14" s="259"/>
      <c r="BR14" s="259"/>
      <c r="BS14" s="259"/>
      <c r="BT14" s="259"/>
      <c r="BU14" s="259"/>
      <c r="BV14" s="259"/>
      <c r="BW14" s="259"/>
      <c r="BX14" s="259"/>
      <c r="BY14" s="259"/>
      <c r="BZ14" s="260"/>
      <c r="CA14" s="259"/>
      <c r="CB14" s="259"/>
      <c r="CC14" s="259"/>
      <c r="CD14" s="259"/>
      <c r="CE14" s="259"/>
      <c r="CF14" s="259"/>
      <c r="CG14" s="259"/>
      <c r="CH14" s="259"/>
      <c r="CI14" s="259"/>
      <c r="CJ14" s="259"/>
      <c r="CK14" s="259"/>
      <c r="CL14" s="259"/>
      <c r="CM14" s="259"/>
      <c r="CN14" s="259"/>
      <c r="CO14" s="259"/>
      <c r="CP14" s="259"/>
      <c r="CQ14" s="259"/>
      <c r="CR14" s="259"/>
      <c r="CS14" s="259"/>
      <c r="CT14" s="259"/>
      <c r="CU14" s="259"/>
      <c r="CV14" s="259"/>
      <c r="CW14" s="259"/>
    </row>
    <row r="15" hidden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259"/>
      <c r="BP15" s="259"/>
      <c r="BQ15" s="259"/>
      <c r="BR15" s="259"/>
      <c r="BS15" s="259"/>
      <c r="BT15" s="259"/>
      <c r="BU15" s="259"/>
      <c r="BV15" s="259"/>
      <c r="BW15" s="259"/>
      <c r="BX15" s="259"/>
      <c r="BY15" s="259"/>
      <c r="BZ15" s="260"/>
      <c r="CA15" s="259"/>
      <c r="CB15" s="259"/>
      <c r="CC15" s="259"/>
      <c r="CD15" s="259"/>
      <c r="CE15" s="259"/>
      <c r="CF15" s="259"/>
      <c r="CG15" s="259"/>
      <c r="CH15" s="259"/>
      <c r="CI15" s="259"/>
      <c r="CJ15" s="259"/>
      <c r="CK15" s="259"/>
      <c r="CL15" s="259"/>
      <c r="CM15" s="259"/>
      <c r="CN15" s="259"/>
      <c r="CO15" s="259"/>
      <c r="CP15" s="259"/>
      <c r="CQ15" s="259"/>
      <c r="CR15" s="259"/>
      <c r="CS15" s="259"/>
      <c r="CT15" s="259"/>
      <c r="CU15" s="259"/>
      <c r="CV15" s="259"/>
      <c r="CW15" s="259"/>
    </row>
    <row r="16" hidden="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261">
        <v>44105.0</v>
      </c>
      <c r="BP16" s="261"/>
      <c r="BQ16" s="261" t="s">
        <v>91</v>
      </c>
      <c r="BR16" s="261" t="s">
        <v>3</v>
      </c>
      <c r="BS16" s="261" t="s">
        <v>4</v>
      </c>
      <c r="BT16" s="261" t="s">
        <v>92</v>
      </c>
      <c r="BU16" s="261" t="s">
        <v>93</v>
      </c>
      <c r="BV16" s="261" t="s">
        <v>94</v>
      </c>
      <c r="BW16" s="261" t="s">
        <v>95</v>
      </c>
      <c r="BX16" s="261" t="s">
        <v>96</v>
      </c>
      <c r="BY16" s="261" t="s">
        <v>9</v>
      </c>
      <c r="BZ16" s="262" t="s">
        <v>97</v>
      </c>
      <c r="CA16" s="261" t="s">
        <v>98</v>
      </c>
      <c r="CB16" s="261" t="s">
        <v>99</v>
      </c>
      <c r="CC16" s="261" t="s">
        <v>13</v>
      </c>
      <c r="CD16" s="261" t="s">
        <v>14</v>
      </c>
      <c r="CE16" s="254"/>
      <c r="CF16" s="255"/>
      <c r="CG16" s="255"/>
      <c r="CH16" s="255"/>
      <c r="CI16" s="255"/>
      <c r="CJ16" s="255"/>
      <c r="CK16" s="255"/>
      <c r="CL16" s="255"/>
      <c r="CM16" s="255"/>
      <c r="CN16" s="255"/>
      <c r="CO16" s="255"/>
      <c r="CP16" s="255"/>
      <c r="CQ16" s="255"/>
      <c r="CR16" s="255"/>
      <c r="CS16" s="255"/>
      <c r="CT16" s="255"/>
      <c r="CU16" s="255"/>
      <c r="CV16" s="255"/>
      <c r="CW16" s="255"/>
    </row>
    <row r="17" hidden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256" t="s">
        <v>100</v>
      </c>
      <c r="BP17" s="259"/>
      <c r="BQ17" s="259">
        <v>4500.0</v>
      </c>
      <c r="BR17" s="256">
        <v>1899.0</v>
      </c>
      <c r="BS17" s="259">
        <v>0.0</v>
      </c>
      <c r="BT17" s="259">
        <v>150.0</v>
      </c>
      <c r="BU17" s="259">
        <v>0.0</v>
      </c>
      <c r="BV17" s="259">
        <v>0.0</v>
      </c>
      <c r="BW17" s="256">
        <v>0.0</v>
      </c>
      <c r="BX17" s="259">
        <v>1500.0</v>
      </c>
      <c r="BY17" s="259">
        <v>15420.0</v>
      </c>
      <c r="BZ17" s="260">
        <v>1621.0</v>
      </c>
      <c r="CA17" s="256">
        <v>1025.0</v>
      </c>
      <c r="CB17" s="259">
        <v>3407.385</v>
      </c>
      <c r="CC17" s="259">
        <v>4079.539</v>
      </c>
      <c r="CD17" s="259">
        <v>8742.0</v>
      </c>
      <c r="CE17" s="263">
        <v>42343.924</v>
      </c>
      <c r="CF17" s="256" t="s">
        <v>101</v>
      </c>
      <c r="CG17" s="256"/>
      <c r="CH17" s="256"/>
      <c r="CI17" s="256"/>
      <c r="CJ17" s="256"/>
      <c r="CK17" s="256"/>
      <c r="CL17" s="256"/>
      <c r="CM17" s="256"/>
      <c r="CN17" s="256"/>
      <c r="CO17" s="256"/>
      <c r="CP17" s="256"/>
      <c r="CQ17" s="256"/>
      <c r="CR17" s="256"/>
      <c r="CS17" s="256"/>
      <c r="CT17" s="256"/>
      <c r="CU17" s="256"/>
      <c r="CV17" s="256"/>
      <c r="CW17" s="256"/>
    </row>
    <row r="18" hidden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256" t="s">
        <v>102</v>
      </c>
      <c r="BP18" s="259"/>
      <c r="BQ18" s="259">
        <v>0.0</v>
      </c>
      <c r="BR18" s="259">
        <v>101.0</v>
      </c>
      <c r="BS18" s="259">
        <v>3500.0</v>
      </c>
      <c r="BT18" s="259">
        <v>350.0</v>
      </c>
      <c r="BU18" s="259">
        <v>500.0</v>
      </c>
      <c r="BV18" s="259">
        <v>500.0</v>
      </c>
      <c r="BW18" s="259">
        <v>6500.0</v>
      </c>
      <c r="BX18" s="259">
        <v>500.0</v>
      </c>
      <c r="BY18" s="259">
        <v>-5420.0</v>
      </c>
      <c r="BZ18" s="260">
        <v>379.0</v>
      </c>
      <c r="CA18" s="259">
        <v>175.0</v>
      </c>
      <c r="CB18" s="259">
        <v>392.6149999999998</v>
      </c>
      <c r="CC18" s="259">
        <v>-1079.5390000000002</v>
      </c>
      <c r="CD18" s="259">
        <v>-3742.0</v>
      </c>
      <c r="CE18" s="259">
        <v>2656.075999999999</v>
      </c>
      <c r="CF18" s="259"/>
      <c r="CG18" s="259"/>
      <c r="CH18" s="259"/>
      <c r="CI18" s="259"/>
      <c r="CJ18" s="259"/>
      <c r="CK18" s="259"/>
      <c r="CL18" s="259"/>
      <c r="CM18" s="259"/>
      <c r="CN18" s="259"/>
      <c r="CO18" s="259"/>
      <c r="CP18" s="259"/>
      <c r="CQ18" s="259"/>
      <c r="CR18" s="259"/>
      <c r="CS18" s="259"/>
      <c r="CT18" s="259"/>
      <c r="CU18" s="259"/>
      <c r="CV18" s="259"/>
      <c r="CW18" s="259"/>
    </row>
    <row r="19" hidden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259"/>
      <c r="BP19" s="259"/>
      <c r="BQ19" s="259"/>
      <c r="BR19" s="259"/>
      <c r="BS19" s="259"/>
      <c r="BT19" s="259"/>
      <c r="BU19" s="259"/>
      <c r="BV19" s="259"/>
      <c r="BW19" s="259"/>
      <c r="BX19" s="259"/>
      <c r="BY19" s="259"/>
      <c r="BZ19" s="260"/>
      <c r="CA19" s="259"/>
      <c r="CB19" s="259"/>
      <c r="CC19" s="259"/>
      <c r="CD19" s="259"/>
      <c r="CE19" s="259"/>
      <c r="CF19" s="259"/>
      <c r="CG19" s="259"/>
      <c r="CH19" s="259"/>
      <c r="CI19" s="259"/>
      <c r="CJ19" s="259"/>
      <c r="CK19" s="259"/>
      <c r="CL19" s="259"/>
      <c r="CM19" s="259"/>
      <c r="CN19" s="259"/>
      <c r="CO19" s="259"/>
      <c r="CP19" s="259"/>
      <c r="CQ19" s="259"/>
      <c r="CR19" s="259"/>
      <c r="CS19" s="259"/>
      <c r="CT19" s="259"/>
      <c r="CU19" s="259"/>
      <c r="CV19" s="259"/>
      <c r="CW19" s="259"/>
    </row>
    <row r="20" hidden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259"/>
      <c r="BP20" s="259"/>
      <c r="BQ20" s="259"/>
      <c r="BR20" s="259"/>
      <c r="BS20" s="259"/>
      <c r="BT20" s="259"/>
      <c r="BU20" s="259"/>
      <c r="BV20" s="259"/>
      <c r="BW20" s="259"/>
      <c r="BX20" s="259"/>
      <c r="BY20" s="259"/>
      <c r="BZ20" s="260"/>
      <c r="CA20" s="259"/>
      <c r="CB20" s="259"/>
      <c r="CC20" s="259"/>
      <c r="CD20" s="259"/>
      <c r="CE20" s="259"/>
      <c r="CF20" s="259"/>
      <c r="CG20" s="259"/>
      <c r="CH20" s="259"/>
      <c r="CI20" s="259"/>
      <c r="CJ20" s="259"/>
      <c r="CK20" s="259"/>
      <c r="CL20" s="259"/>
      <c r="CM20" s="259"/>
      <c r="CN20" s="259"/>
      <c r="CO20" s="259"/>
      <c r="CP20" s="259"/>
      <c r="CQ20" s="259"/>
      <c r="CR20" s="259"/>
      <c r="CS20" s="259"/>
      <c r="CT20" s="259"/>
      <c r="CU20" s="259"/>
      <c r="CV20" s="259"/>
      <c r="CW20" s="259"/>
    </row>
    <row r="21" hidden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252">
        <v>44136.0</v>
      </c>
      <c r="BP21" s="252"/>
      <c r="BQ21" s="252" t="s">
        <v>91</v>
      </c>
      <c r="BR21" s="252" t="s">
        <v>3</v>
      </c>
      <c r="BS21" s="252" t="s">
        <v>4</v>
      </c>
      <c r="BT21" s="252" t="s">
        <v>92</v>
      </c>
      <c r="BU21" s="252" t="s">
        <v>93</v>
      </c>
      <c r="BV21" s="252" t="s">
        <v>94</v>
      </c>
      <c r="BW21" s="252" t="s">
        <v>95</v>
      </c>
      <c r="BX21" s="252" t="s">
        <v>96</v>
      </c>
      <c r="BY21" s="252" t="s">
        <v>9</v>
      </c>
      <c r="BZ21" s="253" t="s">
        <v>97</v>
      </c>
      <c r="CA21" s="252" t="s">
        <v>98</v>
      </c>
      <c r="CB21" s="252" t="s">
        <v>99</v>
      </c>
      <c r="CC21" s="252" t="s">
        <v>13</v>
      </c>
      <c r="CD21" s="252" t="s">
        <v>14</v>
      </c>
      <c r="CE21" s="254"/>
      <c r="CF21" s="255"/>
      <c r="CG21" s="255"/>
      <c r="CH21" s="255"/>
      <c r="CI21" s="255"/>
      <c r="CJ21" s="255"/>
      <c r="CK21" s="255"/>
      <c r="CL21" s="255"/>
      <c r="CM21" s="255"/>
      <c r="CN21" s="255"/>
      <c r="CO21" s="255"/>
      <c r="CP21" s="255"/>
      <c r="CQ21" s="255"/>
      <c r="CR21" s="255"/>
      <c r="CS21" s="255"/>
      <c r="CT21" s="255"/>
      <c r="CU21" s="255"/>
      <c r="CV21" s="255"/>
      <c r="CW21" s="255"/>
    </row>
    <row r="22" hidden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256" t="s">
        <v>100</v>
      </c>
      <c r="BP22" s="259"/>
      <c r="BQ22" s="259">
        <v>4500.0</v>
      </c>
      <c r="BR22" s="256">
        <v>1899.0</v>
      </c>
      <c r="BS22" s="259">
        <v>3100.0</v>
      </c>
      <c r="BT22" s="259">
        <v>250.0</v>
      </c>
      <c r="BU22" s="259">
        <v>0.0</v>
      </c>
      <c r="BV22" s="259">
        <v>1000.0</v>
      </c>
      <c r="BW22" s="256">
        <v>0.0</v>
      </c>
      <c r="BX22" s="259">
        <v>2500.0</v>
      </c>
      <c r="BY22" s="259">
        <v>10671.0</v>
      </c>
      <c r="BZ22" s="260">
        <v>1640.5</v>
      </c>
      <c r="CA22" s="256">
        <v>1356.0</v>
      </c>
      <c r="CB22" s="259">
        <v>3244.059</v>
      </c>
      <c r="CC22" s="259">
        <v>3981.496</v>
      </c>
      <c r="CD22" s="259">
        <v>4487.0</v>
      </c>
      <c r="CE22" s="263">
        <v>38629.055</v>
      </c>
      <c r="CF22" s="256" t="s">
        <v>101</v>
      </c>
      <c r="CG22" s="256"/>
      <c r="CH22" s="256"/>
      <c r="CI22" s="256"/>
      <c r="CJ22" s="256"/>
      <c r="CK22" s="256"/>
      <c r="CL22" s="256"/>
      <c r="CM22" s="256"/>
      <c r="CN22" s="256"/>
      <c r="CO22" s="256"/>
      <c r="CP22" s="256"/>
      <c r="CQ22" s="256"/>
      <c r="CR22" s="256"/>
      <c r="CS22" s="256"/>
      <c r="CT22" s="256"/>
      <c r="CU22" s="256"/>
      <c r="CV22" s="256"/>
      <c r="CW22" s="256"/>
    </row>
    <row r="23" hidden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256" t="s">
        <v>102</v>
      </c>
      <c r="BP23" s="259"/>
      <c r="BQ23" s="259">
        <v>0.0</v>
      </c>
      <c r="BR23" s="259">
        <v>101.0</v>
      </c>
      <c r="BS23" s="259">
        <v>400.0</v>
      </c>
      <c r="BT23" s="259">
        <v>250.0</v>
      </c>
      <c r="BU23" s="259">
        <v>500.0</v>
      </c>
      <c r="BV23" s="259">
        <v>-500.0</v>
      </c>
      <c r="BW23" s="259">
        <v>6500.0</v>
      </c>
      <c r="BX23" s="259">
        <v>-500.0</v>
      </c>
      <c r="BY23" s="259">
        <v>-671.0</v>
      </c>
      <c r="BZ23" s="260">
        <v>359.5</v>
      </c>
      <c r="CA23" s="259">
        <v>-156.0</v>
      </c>
      <c r="CB23" s="259">
        <v>555.9409999999998</v>
      </c>
      <c r="CC23" s="259">
        <v>-981.4960000000001</v>
      </c>
      <c r="CD23" s="259">
        <v>513.0</v>
      </c>
      <c r="CE23" s="259">
        <v>6370.945</v>
      </c>
      <c r="CF23" s="259"/>
      <c r="CG23" s="259"/>
      <c r="CH23" s="259"/>
      <c r="CI23" s="259"/>
      <c r="CJ23" s="259"/>
      <c r="CK23" s="259"/>
      <c r="CL23" s="259"/>
      <c r="CM23" s="259"/>
      <c r="CN23" s="259"/>
      <c r="CO23" s="259"/>
      <c r="CP23" s="259"/>
      <c r="CQ23" s="259"/>
      <c r="CR23" s="259"/>
      <c r="CS23" s="259"/>
      <c r="CT23" s="259"/>
      <c r="CU23" s="259"/>
      <c r="CV23" s="259"/>
      <c r="CW23" s="259"/>
    </row>
    <row r="24" hidden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259"/>
      <c r="BP24" s="259"/>
      <c r="BQ24" s="259"/>
      <c r="BR24" s="259"/>
      <c r="BS24" s="259"/>
      <c r="BT24" s="259"/>
      <c r="BU24" s="259"/>
      <c r="BV24" s="259"/>
      <c r="BW24" s="259"/>
      <c r="BX24" s="259"/>
      <c r="BY24" s="259"/>
      <c r="BZ24" s="260"/>
      <c r="CA24" s="259"/>
      <c r="CB24" s="259"/>
      <c r="CC24" s="259"/>
      <c r="CD24" s="259"/>
      <c r="CE24" s="259"/>
      <c r="CF24" s="259"/>
      <c r="CG24" s="259"/>
      <c r="CH24" s="259"/>
      <c r="CI24" s="259"/>
      <c r="CJ24" s="259"/>
      <c r="CK24" s="259"/>
      <c r="CL24" s="259"/>
      <c r="CM24" s="259"/>
      <c r="CN24" s="259"/>
      <c r="CO24" s="259"/>
      <c r="CP24" s="259"/>
      <c r="CQ24" s="259"/>
      <c r="CR24" s="259"/>
      <c r="CS24" s="259"/>
      <c r="CT24" s="259"/>
      <c r="CU24" s="259"/>
      <c r="CV24" s="259"/>
      <c r="CW24" s="259"/>
    </row>
    <row r="25" hidden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259"/>
      <c r="BP25" s="259"/>
      <c r="BQ25" s="259"/>
      <c r="BR25" s="259"/>
      <c r="BS25" s="259"/>
      <c r="BT25" s="259"/>
      <c r="BU25" s="259"/>
      <c r="BV25" s="259"/>
      <c r="BW25" s="259"/>
      <c r="BX25" s="259"/>
      <c r="BY25" s="259"/>
      <c r="BZ25" s="260"/>
      <c r="CA25" s="259"/>
      <c r="CB25" s="259"/>
      <c r="CC25" s="259"/>
      <c r="CD25" s="259"/>
      <c r="CE25" s="259"/>
      <c r="CF25" s="259"/>
      <c r="CG25" s="259"/>
      <c r="CH25" s="259"/>
      <c r="CI25" s="259"/>
      <c r="CJ25" s="259"/>
      <c r="CK25" s="259"/>
      <c r="CL25" s="259"/>
      <c r="CM25" s="259"/>
      <c r="CN25" s="259"/>
      <c r="CO25" s="259"/>
      <c r="CP25" s="259"/>
      <c r="CQ25" s="259"/>
      <c r="CR25" s="259"/>
      <c r="CS25" s="259"/>
      <c r="CT25" s="259"/>
      <c r="CU25" s="259"/>
      <c r="CV25" s="259"/>
      <c r="CW25" s="259"/>
    </row>
    <row r="26" hidden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261">
        <v>44166.0</v>
      </c>
      <c r="BP26" s="261"/>
      <c r="BQ26" s="261" t="s">
        <v>91</v>
      </c>
      <c r="BR26" s="261" t="s">
        <v>3</v>
      </c>
      <c r="BS26" s="261" t="s">
        <v>4</v>
      </c>
      <c r="BT26" s="261" t="s">
        <v>92</v>
      </c>
      <c r="BU26" s="261" t="s">
        <v>93</v>
      </c>
      <c r="BV26" s="261" t="s">
        <v>94</v>
      </c>
      <c r="BW26" s="261" t="s">
        <v>95</v>
      </c>
      <c r="BX26" s="261" t="s">
        <v>96</v>
      </c>
      <c r="BY26" s="261" t="s">
        <v>9</v>
      </c>
      <c r="BZ26" s="262" t="s">
        <v>97</v>
      </c>
      <c r="CA26" s="261"/>
      <c r="CB26" s="261" t="s">
        <v>99</v>
      </c>
      <c r="CC26" s="261" t="s">
        <v>13</v>
      </c>
      <c r="CD26" s="261" t="s">
        <v>14</v>
      </c>
      <c r="CE26" s="254"/>
      <c r="CF26" s="255"/>
      <c r="CG26" s="255"/>
      <c r="CH26" s="255"/>
      <c r="CI26" s="255"/>
      <c r="CJ26" s="255"/>
      <c r="CK26" s="255"/>
      <c r="CL26" s="255"/>
      <c r="CM26" s="255"/>
      <c r="CN26" s="255"/>
      <c r="CO26" s="255"/>
      <c r="CP26" s="255"/>
      <c r="CQ26" s="255"/>
      <c r="CR26" s="255"/>
      <c r="CS26" s="255"/>
      <c r="CT26" s="255"/>
      <c r="CU26" s="255"/>
      <c r="CV26" s="255"/>
      <c r="CW26" s="255"/>
    </row>
    <row r="27" hidden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256" t="s">
        <v>100</v>
      </c>
      <c r="BP27" s="259"/>
      <c r="BQ27" s="256">
        <v>4500.0</v>
      </c>
      <c r="BR27" s="256">
        <v>1715.0</v>
      </c>
      <c r="BS27" s="256">
        <v>3050.0</v>
      </c>
      <c r="BT27" s="256">
        <v>150.0</v>
      </c>
      <c r="BU27" s="256">
        <v>0.0</v>
      </c>
      <c r="BV27" s="256">
        <v>3200.0</v>
      </c>
      <c r="BW27" s="256">
        <v>0.0</v>
      </c>
      <c r="BX27" s="256">
        <v>2200.0</v>
      </c>
      <c r="BY27" s="256">
        <v>13421.0</v>
      </c>
      <c r="BZ27" s="256">
        <v>1696.0</v>
      </c>
      <c r="CA27" s="256">
        <v>0.0</v>
      </c>
      <c r="CB27" s="256">
        <v>3861.0</v>
      </c>
      <c r="CC27" s="256">
        <v>9388.704</v>
      </c>
      <c r="CD27" s="256">
        <v>15819.0</v>
      </c>
      <c r="CE27" s="258">
        <f t="shared" ref="CE27:CE28" si="2">SUM(BQ27:CD27)</f>
        <v>59000.704</v>
      </c>
      <c r="CF27" s="256" t="s">
        <v>101</v>
      </c>
      <c r="CG27" s="256"/>
      <c r="CH27" s="256"/>
      <c r="CI27" s="256"/>
      <c r="CJ27" s="256"/>
      <c r="CK27" s="256"/>
      <c r="CL27" s="256"/>
      <c r="CM27" s="256"/>
      <c r="CN27" s="256"/>
      <c r="CO27" s="256"/>
      <c r="CP27" s="256"/>
      <c r="CQ27" s="256"/>
      <c r="CR27" s="256"/>
      <c r="CS27" s="256"/>
      <c r="CT27" s="256"/>
      <c r="CU27" s="256"/>
      <c r="CV27" s="256"/>
      <c r="CW27" s="256"/>
    </row>
    <row r="28" hidden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256" t="s">
        <v>102</v>
      </c>
      <c r="BP28" s="259"/>
      <c r="BQ28" s="256">
        <v>0.0</v>
      </c>
      <c r="BR28" s="256">
        <v>285.0</v>
      </c>
      <c r="BS28" s="256">
        <v>450.0</v>
      </c>
      <c r="BT28" s="256">
        <v>350.0</v>
      </c>
      <c r="BU28" s="256">
        <v>500.0</v>
      </c>
      <c r="BV28" s="256">
        <v>-2700.0</v>
      </c>
      <c r="BW28" s="256">
        <v>6500.0</v>
      </c>
      <c r="BX28" s="256">
        <v>-200.0</v>
      </c>
      <c r="BY28" s="256">
        <v>-3421.0</v>
      </c>
      <c r="BZ28" s="256">
        <v>304.0</v>
      </c>
      <c r="CA28" s="256">
        <v>1200.0</v>
      </c>
      <c r="CB28" s="256">
        <v>-61.0</v>
      </c>
      <c r="CC28" s="256">
        <v>-6089.0</v>
      </c>
      <c r="CD28" s="256">
        <v>-10819.0</v>
      </c>
      <c r="CE28" s="259">
        <f t="shared" si="2"/>
        <v>-13701</v>
      </c>
      <c r="CF28" s="259"/>
      <c r="CG28" s="259"/>
      <c r="CH28" s="259"/>
      <c r="CI28" s="259"/>
      <c r="CJ28" s="259"/>
      <c r="CK28" s="259"/>
      <c r="CL28" s="259"/>
      <c r="CM28" s="259"/>
      <c r="CN28" s="259"/>
      <c r="CO28" s="259"/>
      <c r="CP28" s="259"/>
      <c r="CQ28" s="259"/>
      <c r="CR28" s="259"/>
      <c r="CS28" s="259"/>
      <c r="CT28" s="259"/>
      <c r="CU28" s="259"/>
      <c r="CV28" s="259"/>
      <c r="CW28" s="259"/>
    </row>
    <row r="29" hidden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259"/>
      <c r="BP29" s="259"/>
      <c r="BQ29" s="259"/>
      <c r="BR29" s="259"/>
      <c r="BS29" s="259"/>
      <c r="BT29" s="259"/>
      <c r="BU29" s="259"/>
      <c r="BV29" s="259"/>
      <c r="BW29" s="259"/>
      <c r="BX29" s="259"/>
      <c r="BY29" s="259"/>
      <c r="BZ29" s="260"/>
      <c r="CA29" s="259"/>
      <c r="CB29" s="259"/>
      <c r="CC29" s="259"/>
      <c r="CD29" s="259"/>
      <c r="CE29" s="259"/>
      <c r="CF29" s="259"/>
      <c r="CG29" s="259"/>
      <c r="CH29" s="259"/>
      <c r="CI29" s="259"/>
      <c r="CJ29" s="259"/>
      <c r="CK29" s="259"/>
      <c r="CL29" s="259"/>
      <c r="CM29" s="259"/>
      <c r="CN29" s="259"/>
      <c r="CO29" s="259"/>
      <c r="CP29" s="259"/>
      <c r="CQ29" s="259"/>
      <c r="CR29" s="259"/>
      <c r="CS29" s="259"/>
      <c r="CT29" s="259"/>
      <c r="CU29" s="259"/>
      <c r="CV29" s="259"/>
      <c r="CW29" s="259"/>
    </row>
    <row r="30" hidden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259"/>
      <c r="BP30" s="259"/>
      <c r="BQ30" s="259"/>
      <c r="BR30" s="259"/>
      <c r="BS30" s="259"/>
      <c r="BT30" s="259"/>
      <c r="BU30" s="259"/>
      <c r="BV30" s="259"/>
      <c r="BW30" s="259"/>
      <c r="BX30" s="259"/>
      <c r="BY30" s="259"/>
      <c r="BZ30" s="260"/>
      <c r="CA30" s="259"/>
      <c r="CB30" s="259"/>
      <c r="CC30" s="259"/>
      <c r="CD30" s="259"/>
      <c r="CE30" s="259"/>
      <c r="CF30" s="259"/>
      <c r="CG30" s="259"/>
      <c r="CH30" s="259"/>
      <c r="CI30" s="259"/>
      <c r="CJ30" s="259"/>
      <c r="CK30" s="259"/>
      <c r="CL30" s="259"/>
      <c r="CM30" s="259"/>
      <c r="CN30" s="259"/>
      <c r="CO30" s="259"/>
      <c r="CP30" s="259"/>
      <c r="CQ30" s="259"/>
      <c r="CR30" s="259"/>
      <c r="CS30" s="259"/>
      <c r="CT30" s="259"/>
      <c r="CU30" s="259"/>
      <c r="CV30" s="259"/>
      <c r="CW30" s="259"/>
    </row>
    <row r="31">
      <c r="A31" s="264">
        <v>46023.0</v>
      </c>
      <c r="B31" s="265" t="s">
        <v>2</v>
      </c>
      <c r="C31" s="266" t="s">
        <v>3</v>
      </c>
      <c r="D31" s="267" t="s">
        <v>4</v>
      </c>
      <c r="E31" s="268" t="s">
        <v>5</v>
      </c>
      <c r="F31" s="269" t="s">
        <v>103</v>
      </c>
      <c r="G31" s="270" t="s">
        <v>7</v>
      </c>
      <c r="H31" s="271" t="s">
        <v>8</v>
      </c>
      <c r="I31" s="270" t="s">
        <v>9</v>
      </c>
      <c r="J31" s="272" t="s">
        <v>10</v>
      </c>
      <c r="K31" s="273" t="s">
        <v>11</v>
      </c>
      <c r="L31" s="273" t="s">
        <v>12</v>
      </c>
      <c r="M31" s="274" t="s">
        <v>13</v>
      </c>
      <c r="N31" s="266" t="s">
        <v>14</v>
      </c>
      <c r="O31" s="275" t="s">
        <v>15</v>
      </c>
      <c r="P31" s="276" t="s">
        <v>16</v>
      </c>
      <c r="Q31" s="277"/>
      <c r="R31" s="264">
        <v>45658.0</v>
      </c>
      <c r="S31" s="265" t="s">
        <v>2</v>
      </c>
      <c r="T31" s="266" t="s">
        <v>3</v>
      </c>
      <c r="U31" s="267" t="s">
        <v>4</v>
      </c>
      <c r="V31" s="268" t="s">
        <v>5</v>
      </c>
      <c r="W31" s="269" t="s">
        <v>103</v>
      </c>
      <c r="X31" s="270" t="s">
        <v>7</v>
      </c>
      <c r="Y31" s="271" t="s">
        <v>8</v>
      </c>
      <c r="Z31" s="270" t="s">
        <v>9</v>
      </c>
      <c r="AA31" s="272" t="s">
        <v>10</v>
      </c>
      <c r="AB31" s="273" t="s">
        <v>11</v>
      </c>
      <c r="AC31" s="273" t="s">
        <v>12</v>
      </c>
      <c r="AD31" s="274" t="s">
        <v>13</v>
      </c>
      <c r="AE31" s="266" t="s">
        <v>14</v>
      </c>
      <c r="AF31" s="275" t="s">
        <v>15</v>
      </c>
      <c r="AG31" s="276" t="s">
        <v>16</v>
      </c>
      <c r="AH31" s="278" t="s">
        <v>104</v>
      </c>
      <c r="AI31" s="279">
        <v>45292.0</v>
      </c>
      <c r="AJ31" s="5" t="s">
        <v>2</v>
      </c>
      <c r="AK31" s="5" t="s">
        <v>3</v>
      </c>
      <c r="AL31" s="6" t="s">
        <v>4</v>
      </c>
      <c r="AM31" s="7" t="s">
        <v>5</v>
      </c>
      <c r="AN31" s="280" t="s">
        <v>103</v>
      </c>
      <c r="AO31" s="9" t="s">
        <v>15</v>
      </c>
      <c r="AP31" s="10" t="s">
        <v>105</v>
      </c>
      <c r="AQ31" s="9" t="s">
        <v>9</v>
      </c>
      <c r="AR31" s="11" t="s">
        <v>106</v>
      </c>
      <c r="AS31" s="12" t="s">
        <v>107</v>
      </c>
      <c r="AT31" s="12" t="s">
        <v>12</v>
      </c>
      <c r="AU31" s="13" t="s">
        <v>13</v>
      </c>
      <c r="AV31" s="5" t="s">
        <v>14</v>
      </c>
      <c r="AW31" s="15" t="s">
        <v>108</v>
      </c>
      <c r="AX31" s="278" t="s">
        <v>109</v>
      </c>
      <c r="AY31" s="279">
        <v>44927.0</v>
      </c>
      <c r="AZ31" s="281" t="s">
        <v>2</v>
      </c>
      <c r="BA31" s="281" t="s">
        <v>3</v>
      </c>
      <c r="BB31" s="282" t="s">
        <v>4</v>
      </c>
      <c r="BC31" s="283" t="s">
        <v>5</v>
      </c>
      <c r="BD31" s="284" t="s">
        <v>103</v>
      </c>
      <c r="BE31" s="285" t="s">
        <v>110</v>
      </c>
      <c r="BF31" s="286" t="s">
        <v>105</v>
      </c>
      <c r="BG31" s="285" t="s">
        <v>9</v>
      </c>
      <c r="BH31" s="287" t="s">
        <v>106</v>
      </c>
      <c r="BI31" s="288" t="s">
        <v>111</v>
      </c>
      <c r="BJ31" s="288" t="s">
        <v>12</v>
      </c>
      <c r="BK31" s="289" t="s">
        <v>13</v>
      </c>
      <c r="BL31" s="281" t="s">
        <v>14</v>
      </c>
      <c r="BM31" s="290" t="s">
        <v>112</v>
      </c>
      <c r="BO31" s="291">
        <v>44562.0</v>
      </c>
      <c r="BP31" s="292" t="s">
        <v>2</v>
      </c>
      <c r="BQ31" s="292" t="s">
        <v>3</v>
      </c>
      <c r="BR31" s="293" t="s">
        <v>4</v>
      </c>
      <c r="BS31" s="294" t="s">
        <v>113</v>
      </c>
      <c r="BT31" s="295" t="s">
        <v>103</v>
      </c>
      <c r="BU31" s="296" t="s">
        <v>114</v>
      </c>
      <c r="BV31" s="296" t="s">
        <v>93</v>
      </c>
      <c r="BW31" s="297" t="s">
        <v>115</v>
      </c>
      <c r="BX31" s="296" t="s">
        <v>9</v>
      </c>
      <c r="BY31" s="298" t="s">
        <v>97</v>
      </c>
      <c r="BZ31" s="299" t="s">
        <v>98</v>
      </c>
      <c r="CA31" s="299" t="s">
        <v>12</v>
      </c>
      <c r="CB31" s="300" t="s">
        <v>13</v>
      </c>
      <c r="CC31" s="292" t="s">
        <v>14</v>
      </c>
      <c r="CD31" s="301" t="s">
        <v>116</v>
      </c>
      <c r="CE31" s="302"/>
      <c r="CF31" s="252" t="s">
        <v>117</v>
      </c>
      <c r="CG31" s="252"/>
      <c r="CH31" s="252" t="s">
        <v>118</v>
      </c>
      <c r="CI31" s="252" t="s">
        <v>3</v>
      </c>
      <c r="CJ31" s="252" t="s">
        <v>4</v>
      </c>
      <c r="CK31" s="252" t="s">
        <v>92</v>
      </c>
      <c r="CL31" s="252" t="s">
        <v>93</v>
      </c>
      <c r="CM31" s="252" t="s">
        <v>94</v>
      </c>
      <c r="CN31" s="252" t="s">
        <v>95</v>
      </c>
      <c r="CO31" s="252" t="s">
        <v>96</v>
      </c>
      <c r="CP31" s="252" t="s">
        <v>9</v>
      </c>
      <c r="CQ31" s="253" t="s">
        <v>97</v>
      </c>
      <c r="CR31" s="303" t="s">
        <v>98</v>
      </c>
      <c r="CS31" s="252" t="s">
        <v>99</v>
      </c>
      <c r="CT31" s="252" t="s">
        <v>13</v>
      </c>
      <c r="CU31" s="252" t="s">
        <v>14</v>
      </c>
      <c r="CV31" s="259"/>
      <c r="CW31" s="259"/>
    </row>
    <row r="32">
      <c r="A32" s="304" t="s">
        <v>34</v>
      </c>
      <c r="B32" s="305">
        <v>28612.0</v>
      </c>
      <c r="C32" s="305">
        <v>1849.0</v>
      </c>
      <c r="D32" s="305">
        <v>3300.0</v>
      </c>
      <c r="E32" s="305">
        <v>100.0</v>
      </c>
      <c r="F32" s="305">
        <v>7880.0</v>
      </c>
      <c r="G32" s="305">
        <v>7432.0</v>
      </c>
      <c r="H32" s="305">
        <v>9180.0</v>
      </c>
      <c r="I32" s="305">
        <v>17464.0</v>
      </c>
      <c r="J32" s="305">
        <v>8944.0</v>
      </c>
      <c r="K32" s="305">
        <v>2020.0</v>
      </c>
      <c r="L32" s="305">
        <v>4120.34</v>
      </c>
      <c r="M32" s="305">
        <v>3800.29</v>
      </c>
      <c r="N32" s="305">
        <v>26827.0</v>
      </c>
      <c r="O32" s="305">
        <v>0.0</v>
      </c>
      <c r="P32" s="306">
        <v>92916.62999999999</v>
      </c>
      <c r="Q32" s="304"/>
      <c r="R32" s="304" t="s">
        <v>34</v>
      </c>
      <c r="S32" s="305">
        <v>21525.0</v>
      </c>
      <c r="T32" s="305">
        <v>2187.0</v>
      </c>
      <c r="U32" s="305">
        <v>3750.0</v>
      </c>
      <c r="V32" s="305">
        <v>600.0</v>
      </c>
      <c r="W32" s="305">
        <v>31265.0</v>
      </c>
      <c r="X32" s="305">
        <v>5261.0</v>
      </c>
      <c r="Y32" s="305">
        <v>13922.0</v>
      </c>
      <c r="Z32" s="305">
        <v>27717.0</v>
      </c>
      <c r="AA32" s="305">
        <v>5233.0</v>
      </c>
      <c r="AB32" s="305">
        <v>5935.0</v>
      </c>
      <c r="AC32" s="305">
        <v>3416.0</v>
      </c>
      <c r="AD32" s="305">
        <v>6640.0</v>
      </c>
      <c r="AE32" s="305">
        <v>10464.0</v>
      </c>
      <c r="AF32" s="305">
        <v>3141.0</v>
      </c>
      <c r="AG32" s="305">
        <v>141056.0</v>
      </c>
      <c r="AH32" s="307">
        <f>AG32+AG37+AG42+AG47+AG52+AG60+AG65+AG70+AG75+AG80+AG84</f>
        <v>1529997.042</v>
      </c>
      <c r="AI32" s="304" t="s">
        <v>34</v>
      </c>
      <c r="AJ32" s="308">
        <v>2300.0</v>
      </c>
      <c r="AK32" s="308">
        <v>2149.0</v>
      </c>
      <c r="AL32" s="308">
        <v>5100.0</v>
      </c>
      <c r="AM32" s="308">
        <v>722.0</v>
      </c>
      <c r="AN32" s="308">
        <v>5970.0</v>
      </c>
      <c r="AO32" s="308">
        <v>3300.0</v>
      </c>
      <c r="AP32" s="308">
        <v>3400.0</v>
      </c>
      <c r="AQ32" s="308">
        <v>26366.0</v>
      </c>
      <c r="AR32" s="308">
        <v>803.0</v>
      </c>
      <c r="AS32" s="308">
        <v>2150.0</v>
      </c>
      <c r="AT32" s="308">
        <v>4988.639999999999</v>
      </c>
      <c r="AU32" s="308">
        <v>7862.27</v>
      </c>
      <c r="AV32" s="308">
        <v>2316.0</v>
      </c>
      <c r="AW32" s="39">
        <v>67426.91</v>
      </c>
      <c r="AX32" s="307">
        <f>AW32+AW37+AW42+AW47+AW52+AW60+AW65+AW70+AW75+AW80+AW84</f>
        <v>1276956.118</v>
      </c>
      <c r="AY32" s="304" t="s">
        <v>34</v>
      </c>
      <c r="AZ32" s="38">
        <v>89571.0</v>
      </c>
      <c r="BA32" s="38">
        <v>2665.0</v>
      </c>
      <c r="BB32" s="38">
        <v>3493.71</v>
      </c>
      <c r="BC32" s="38">
        <v>650.0</v>
      </c>
      <c r="BD32" s="38">
        <v>2075.0</v>
      </c>
      <c r="BE32" s="38">
        <v>8580.0</v>
      </c>
      <c r="BF32" s="38">
        <v>6600.0</v>
      </c>
      <c r="BG32" s="38">
        <v>22893.0</v>
      </c>
      <c r="BH32" s="38">
        <v>700.0</v>
      </c>
      <c r="BI32" s="38">
        <v>1900.0</v>
      </c>
      <c r="BJ32" s="38">
        <v>5845.0</v>
      </c>
      <c r="BK32" s="38">
        <v>8261.0</v>
      </c>
      <c r="BL32" s="38">
        <v>17463.0</v>
      </c>
      <c r="BM32" s="36">
        <v>170696.71000000002</v>
      </c>
      <c r="BN32" s="309">
        <f>BM32+BM37+BM42+BM47+BM52+BM56+BM60+BM65+BM70+BM75+BM80+BM84</f>
        <v>1369821.458</v>
      </c>
      <c r="BO32" s="304" t="s">
        <v>34</v>
      </c>
      <c r="BP32" s="304">
        <v>3379.0</v>
      </c>
      <c r="BQ32" s="310">
        <v>2630.0</v>
      </c>
      <c r="BR32" s="310">
        <v>3000.0</v>
      </c>
      <c r="BS32" s="310">
        <v>1000.0</v>
      </c>
      <c r="BT32" s="310">
        <v>10150.0</v>
      </c>
      <c r="BU32" s="310">
        <v>150.0</v>
      </c>
      <c r="BV32" s="310">
        <v>0.0</v>
      </c>
      <c r="BW32" s="310">
        <v>1950.0</v>
      </c>
      <c r="BX32" s="310">
        <v>13002.0</v>
      </c>
      <c r="BY32" s="310">
        <v>480.0</v>
      </c>
      <c r="BZ32" s="310">
        <v>1439.0</v>
      </c>
      <c r="CA32" s="310">
        <v>6903.97</v>
      </c>
      <c r="CB32" s="310">
        <v>600.0</v>
      </c>
      <c r="CC32" s="310">
        <v>25389.0</v>
      </c>
      <c r="CD32" s="311">
        <v>70072.97</v>
      </c>
      <c r="CE32" s="312"/>
      <c r="CF32" s="256" t="s">
        <v>100</v>
      </c>
      <c r="CG32" s="30"/>
      <c r="CH32" s="259">
        <v>107376.0</v>
      </c>
      <c r="CI32" s="256">
        <v>3000.0</v>
      </c>
      <c r="CJ32" s="259">
        <v>4885.0</v>
      </c>
      <c r="CK32" s="259">
        <v>150.0</v>
      </c>
      <c r="CL32" s="259">
        <v>0.0</v>
      </c>
      <c r="CM32" s="259">
        <v>10000.0</v>
      </c>
      <c r="CN32" s="256">
        <v>20000.0</v>
      </c>
      <c r="CO32" s="259">
        <v>4990.0</v>
      </c>
      <c r="CP32" s="259">
        <v>13389.0</v>
      </c>
      <c r="CQ32" s="259">
        <v>430.0</v>
      </c>
      <c r="CR32" s="257">
        <v>600.0</v>
      </c>
      <c r="CS32" s="259">
        <v>6548.246999999999</v>
      </c>
      <c r="CT32" s="259">
        <v>3859.273</v>
      </c>
      <c r="CU32" s="259">
        <v>13216.0</v>
      </c>
      <c r="CV32" s="313">
        <v>188443.52</v>
      </c>
      <c r="CW32" s="256" t="s">
        <v>101</v>
      </c>
    </row>
    <row r="33">
      <c r="A33" s="304" t="s">
        <v>119</v>
      </c>
      <c r="B33" s="306">
        <v>-3612.0</v>
      </c>
      <c r="C33" s="306">
        <v>651.0</v>
      </c>
      <c r="D33" s="306">
        <v>1700.0</v>
      </c>
      <c r="E33" s="306">
        <v>700.0</v>
      </c>
      <c r="F33" s="314">
        <v>-3380.0</v>
      </c>
      <c r="G33" s="306">
        <v>-2432.0</v>
      </c>
      <c r="H33" s="314">
        <v>-2180.0</v>
      </c>
      <c r="I33" s="306">
        <v>-2464.0</v>
      </c>
      <c r="J33" s="306">
        <v>-1944.0</v>
      </c>
      <c r="K33" s="314">
        <v>1980.0</v>
      </c>
      <c r="L33" s="306">
        <v>879.6599999999999</v>
      </c>
      <c r="M33" s="306">
        <v>4199.71</v>
      </c>
      <c r="N33" s="314">
        <v>-20827.0</v>
      </c>
      <c r="O33" s="305">
        <v>4000.0</v>
      </c>
      <c r="P33" s="314">
        <v>5883.37000000001</v>
      </c>
      <c r="Q33" s="304"/>
      <c r="R33" s="304" t="s">
        <v>119</v>
      </c>
      <c r="S33" s="305">
        <v>3475.0</v>
      </c>
      <c r="T33" s="305">
        <v>313.0</v>
      </c>
      <c r="U33" s="305">
        <v>1250.0</v>
      </c>
      <c r="V33" s="305">
        <v>200.0</v>
      </c>
      <c r="W33" s="315">
        <v>-26765.0</v>
      </c>
      <c r="X33" s="305">
        <v>-261.0</v>
      </c>
      <c r="Y33" s="315">
        <v>-7922.0</v>
      </c>
      <c r="Z33" s="305">
        <v>-12717.0</v>
      </c>
      <c r="AA33" s="305">
        <v>2767.0</v>
      </c>
      <c r="AB33" s="315">
        <v>-935.0</v>
      </c>
      <c r="AC33" s="305">
        <v>584.0</v>
      </c>
      <c r="AD33" s="305">
        <v>160.0</v>
      </c>
      <c r="AE33" s="315">
        <v>-7464.0</v>
      </c>
      <c r="AF33" s="305">
        <v>859.0</v>
      </c>
      <c r="AG33" s="315">
        <v>-46456.0</v>
      </c>
      <c r="AH33" s="304"/>
      <c r="AI33" s="304" t="s">
        <v>119</v>
      </c>
      <c r="AJ33" s="39">
        <v>700.0</v>
      </c>
      <c r="AK33" s="39">
        <v>51.0</v>
      </c>
      <c r="AL33" s="39">
        <v>400.0</v>
      </c>
      <c r="AM33" s="39">
        <v>278.0</v>
      </c>
      <c r="AN33" s="39">
        <v>-2970.0</v>
      </c>
      <c r="AO33" s="39">
        <v>0.0</v>
      </c>
      <c r="AP33" s="39">
        <v>2600.0</v>
      </c>
      <c r="AQ33" s="316">
        <v>-9366.0</v>
      </c>
      <c r="AR33" s="39">
        <v>2197.0</v>
      </c>
      <c r="AS33" s="39">
        <v>2850.0</v>
      </c>
      <c r="AT33" s="39">
        <v>511.3600000000006</v>
      </c>
      <c r="AU33" s="316">
        <v>-1062.2700000000004</v>
      </c>
      <c r="AV33" s="39">
        <v>684.0</v>
      </c>
      <c r="AW33" s="316">
        <v>-3126.91</v>
      </c>
      <c r="AX33" s="304"/>
      <c r="AY33" s="304" t="s">
        <v>119</v>
      </c>
      <c r="AZ33" s="37">
        <v>-86571.0</v>
      </c>
      <c r="BA33" s="37">
        <v>-465.0</v>
      </c>
      <c r="BB33" s="36">
        <v>506.28999999999996</v>
      </c>
      <c r="BC33" s="36">
        <v>350.0</v>
      </c>
      <c r="BD33" s="36">
        <v>925.0</v>
      </c>
      <c r="BE33" s="36">
        <v>0.2000000000007276</v>
      </c>
      <c r="BF33" s="37">
        <v>-600.0</v>
      </c>
      <c r="BG33" s="37">
        <v>-7893.0</v>
      </c>
      <c r="BH33" s="36">
        <v>4300.0</v>
      </c>
      <c r="BI33" s="36">
        <v>5100.0</v>
      </c>
      <c r="BJ33" s="37">
        <v>-345.0</v>
      </c>
      <c r="BK33" s="37">
        <v>-861.0</v>
      </c>
      <c r="BL33" s="37">
        <v>-14463.0</v>
      </c>
      <c r="BM33" s="37">
        <v>-100016.51000000001</v>
      </c>
      <c r="BO33" s="304" t="s">
        <v>119</v>
      </c>
      <c r="BP33" s="317">
        <v>-379.0</v>
      </c>
      <c r="BQ33" s="317">
        <v>-531.0</v>
      </c>
      <c r="BR33" s="311">
        <v>1000.0</v>
      </c>
      <c r="BS33" s="311">
        <v>0.0</v>
      </c>
      <c r="BT33" s="317">
        <v>-7150.0</v>
      </c>
      <c r="BU33" s="311">
        <v>4850.0</v>
      </c>
      <c r="BV33" s="311">
        <v>1300.0</v>
      </c>
      <c r="BW33" s="311">
        <v>50.0</v>
      </c>
      <c r="BX33" s="311">
        <v>-1002.0</v>
      </c>
      <c r="BY33" s="311">
        <v>520.0</v>
      </c>
      <c r="BZ33" s="317">
        <v>-439.0</v>
      </c>
      <c r="CA33" s="317">
        <v>-2803.9700000000003</v>
      </c>
      <c r="CB33" s="311">
        <v>-100.0</v>
      </c>
      <c r="CC33" s="317">
        <v>-22389.0</v>
      </c>
      <c r="CD33" s="317">
        <v>-27073.97</v>
      </c>
      <c r="CE33" s="311"/>
      <c r="CF33" s="256"/>
      <c r="CG33" s="30"/>
      <c r="CH33" s="259"/>
      <c r="CI33" s="259"/>
      <c r="CJ33" s="259"/>
      <c r="CK33" s="259"/>
      <c r="CL33" s="259"/>
      <c r="CM33" s="259"/>
      <c r="CN33" s="259"/>
      <c r="CO33" s="259"/>
      <c r="CP33" s="259"/>
      <c r="CQ33" s="259"/>
      <c r="CR33" s="260"/>
      <c r="CS33" s="259"/>
      <c r="CT33" s="259"/>
      <c r="CU33" s="259"/>
      <c r="CV33" s="259">
        <v>54799.999999999985</v>
      </c>
      <c r="CW33" s="259"/>
    </row>
    <row r="34">
      <c r="A34" s="259"/>
      <c r="B34" s="259"/>
      <c r="C34" s="259"/>
      <c r="D34" s="259"/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259"/>
      <c r="Q34" s="259"/>
      <c r="R34" s="259"/>
      <c r="S34" s="259"/>
      <c r="T34" s="259"/>
      <c r="U34" s="259"/>
      <c r="V34" s="259"/>
      <c r="W34" s="259"/>
      <c r="X34" s="259"/>
      <c r="Y34" s="259"/>
      <c r="Z34" s="259"/>
      <c r="AA34" s="259"/>
      <c r="AB34" s="259"/>
      <c r="AC34" s="259"/>
      <c r="AD34" s="259"/>
      <c r="AE34" s="259"/>
      <c r="AF34" s="259"/>
      <c r="AG34" s="259"/>
      <c r="AH34" s="259"/>
      <c r="AI34" s="259"/>
      <c r="AJ34" s="318"/>
      <c r="AK34" s="318"/>
      <c r="AL34" s="318"/>
      <c r="AM34" s="318"/>
      <c r="AN34" s="318"/>
      <c r="AO34" s="318"/>
      <c r="AP34" s="318"/>
      <c r="AQ34" s="318"/>
      <c r="AR34" s="318"/>
      <c r="AS34" s="318"/>
      <c r="AT34" s="319"/>
      <c r="AU34" s="318"/>
      <c r="AV34" s="318"/>
      <c r="AW34" s="318">
        <v>64300.0</v>
      </c>
      <c r="AX34" s="259"/>
      <c r="AY34" s="259"/>
      <c r="AZ34" s="259"/>
      <c r="BA34" s="259"/>
      <c r="BB34" s="259"/>
      <c r="BC34" s="259"/>
      <c r="BD34" s="259"/>
      <c r="BE34" s="259"/>
      <c r="BF34" s="259"/>
      <c r="BG34" s="259"/>
      <c r="BH34" s="259"/>
      <c r="BI34" s="259"/>
      <c r="BJ34" s="260"/>
      <c r="BK34" s="259"/>
      <c r="BL34" s="259"/>
      <c r="BM34" s="259"/>
      <c r="BO34" s="259"/>
      <c r="BP34" s="259"/>
      <c r="BQ34" s="320"/>
      <c r="BR34" s="320"/>
      <c r="BS34" s="320"/>
      <c r="BT34" s="320"/>
      <c r="BU34" s="320"/>
      <c r="BV34" s="320"/>
      <c r="BW34" s="320"/>
      <c r="BX34" s="320"/>
      <c r="BY34" s="320"/>
      <c r="BZ34" s="321"/>
      <c r="CA34" s="320"/>
      <c r="CB34" s="320"/>
      <c r="CC34" s="320"/>
      <c r="CD34" s="320"/>
      <c r="CE34" s="320"/>
      <c r="CF34" s="259"/>
      <c r="CG34" s="30"/>
      <c r="CH34" s="259"/>
      <c r="CI34" s="259"/>
      <c r="CJ34" s="259"/>
      <c r="CK34" s="259"/>
      <c r="CL34" s="259"/>
      <c r="CM34" s="259"/>
      <c r="CN34" s="259"/>
      <c r="CO34" s="259"/>
      <c r="CP34" s="259"/>
      <c r="CQ34" s="259"/>
      <c r="CR34" s="260"/>
      <c r="CS34" s="259"/>
      <c r="CT34" s="259"/>
      <c r="CU34" s="259"/>
      <c r="CV34" s="259"/>
      <c r="CW34" s="259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259"/>
      <c r="CG35" s="259"/>
      <c r="CH35" s="259"/>
      <c r="CI35" s="259"/>
      <c r="CJ35" s="259"/>
      <c r="CK35" s="259"/>
      <c r="CL35" s="259"/>
      <c r="CM35" s="259"/>
      <c r="CN35" s="259"/>
      <c r="CO35" s="259"/>
      <c r="CP35" s="259"/>
      <c r="CQ35" s="260"/>
      <c r="CR35" s="259"/>
      <c r="CS35" s="259"/>
      <c r="CT35" s="259"/>
      <c r="CU35" s="259"/>
      <c r="CV35" s="259"/>
      <c r="CW35" s="259"/>
    </row>
    <row r="36">
      <c r="A36" s="264">
        <v>46054.0</v>
      </c>
      <c r="B36" s="265" t="s">
        <v>2</v>
      </c>
      <c r="C36" s="266" t="s">
        <v>3</v>
      </c>
      <c r="D36" s="267" t="s">
        <v>4</v>
      </c>
      <c r="E36" s="268" t="s">
        <v>5</v>
      </c>
      <c r="F36" s="269" t="s">
        <v>103</v>
      </c>
      <c r="G36" s="270" t="s">
        <v>7</v>
      </c>
      <c r="H36" s="271" t="s">
        <v>8</v>
      </c>
      <c r="I36" s="270" t="s">
        <v>9</v>
      </c>
      <c r="J36" s="272" t="s">
        <v>10</v>
      </c>
      <c r="K36" s="273" t="s">
        <v>11</v>
      </c>
      <c r="L36" s="273" t="s">
        <v>12</v>
      </c>
      <c r="M36" s="274" t="s">
        <v>13</v>
      </c>
      <c r="N36" s="266" t="s">
        <v>14</v>
      </c>
      <c r="O36" s="275" t="s">
        <v>15</v>
      </c>
      <c r="P36" s="276" t="s">
        <v>16</v>
      </c>
      <c r="Q36" s="277"/>
      <c r="R36" s="264">
        <v>45689.0</v>
      </c>
      <c r="S36" s="265" t="s">
        <v>2</v>
      </c>
      <c r="T36" s="266" t="s">
        <v>3</v>
      </c>
      <c r="U36" s="267" t="s">
        <v>4</v>
      </c>
      <c r="V36" s="268" t="s">
        <v>5</v>
      </c>
      <c r="W36" s="269" t="s">
        <v>103</v>
      </c>
      <c r="X36" s="270" t="s">
        <v>7</v>
      </c>
      <c r="Y36" s="271" t="s">
        <v>8</v>
      </c>
      <c r="Z36" s="270" t="s">
        <v>9</v>
      </c>
      <c r="AA36" s="272" t="s">
        <v>10</v>
      </c>
      <c r="AB36" s="273" t="s">
        <v>11</v>
      </c>
      <c r="AC36" s="273" t="s">
        <v>12</v>
      </c>
      <c r="AD36" s="274" t="s">
        <v>13</v>
      </c>
      <c r="AE36" s="266" t="s">
        <v>14</v>
      </c>
      <c r="AF36" s="275" t="s">
        <v>15</v>
      </c>
      <c r="AG36" s="276" t="s">
        <v>16</v>
      </c>
      <c r="AH36" s="322"/>
      <c r="AI36" s="279">
        <v>45323.0</v>
      </c>
      <c r="AJ36" s="5" t="s">
        <v>2</v>
      </c>
      <c r="AK36" s="5" t="s">
        <v>3</v>
      </c>
      <c r="AL36" s="6" t="s">
        <v>4</v>
      </c>
      <c r="AM36" s="7" t="s">
        <v>5</v>
      </c>
      <c r="AN36" s="280" t="s">
        <v>103</v>
      </c>
      <c r="AO36" s="9" t="s">
        <v>7</v>
      </c>
      <c r="AP36" s="10" t="s">
        <v>105</v>
      </c>
      <c r="AQ36" s="9" t="s">
        <v>9</v>
      </c>
      <c r="AR36" s="11" t="s">
        <v>106</v>
      </c>
      <c r="AS36" s="12" t="s">
        <v>107</v>
      </c>
      <c r="AT36" s="12" t="s">
        <v>12</v>
      </c>
      <c r="AU36" s="13" t="s">
        <v>13</v>
      </c>
      <c r="AV36" s="5" t="s">
        <v>14</v>
      </c>
      <c r="AW36" s="15" t="s">
        <v>108</v>
      </c>
      <c r="AX36" s="322"/>
      <c r="AY36" s="279">
        <v>44958.0</v>
      </c>
      <c r="AZ36" s="292" t="s">
        <v>2</v>
      </c>
      <c r="BA36" s="292" t="s">
        <v>3</v>
      </c>
      <c r="BB36" s="293" t="s">
        <v>4</v>
      </c>
      <c r="BC36" s="294" t="s">
        <v>5</v>
      </c>
      <c r="BD36" s="295" t="s">
        <v>103</v>
      </c>
      <c r="BE36" s="285" t="s">
        <v>110</v>
      </c>
      <c r="BF36" s="297" t="s">
        <v>115</v>
      </c>
      <c r="BG36" s="296" t="s">
        <v>9</v>
      </c>
      <c r="BH36" s="298" t="s">
        <v>97</v>
      </c>
      <c r="BI36" s="299" t="s">
        <v>98</v>
      </c>
      <c r="BJ36" s="299" t="s">
        <v>12</v>
      </c>
      <c r="BK36" s="300" t="s">
        <v>13</v>
      </c>
      <c r="BL36" s="292" t="s">
        <v>14</v>
      </c>
      <c r="BM36" s="290" t="s">
        <v>112</v>
      </c>
      <c r="BO36" s="323"/>
      <c r="BP36" s="292" t="s">
        <v>2</v>
      </c>
      <c r="BQ36" s="292" t="s">
        <v>3</v>
      </c>
      <c r="BR36" s="293" t="s">
        <v>4</v>
      </c>
      <c r="BS36" s="294" t="s">
        <v>113</v>
      </c>
      <c r="BT36" s="295" t="s">
        <v>103</v>
      </c>
      <c r="BU36" s="296" t="s">
        <v>114</v>
      </c>
      <c r="BV36" s="296" t="s">
        <v>93</v>
      </c>
      <c r="BW36" s="297" t="s">
        <v>115</v>
      </c>
      <c r="BX36" s="296" t="s">
        <v>9</v>
      </c>
      <c r="BY36" s="298" t="s">
        <v>97</v>
      </c>
      <c r="BZ36" s="299" t="s">
        <v>98</v>
      </c>
      <c r="CA36" s="299" t="s">
        <v>12</v>
      </c>
      <c r="CB36" s="300" t="s">
        <v>13</v>
      </c>
      <c r="CC36" s="292" t="s">
        <v>14</v>
      </c>
      <c r="CD36" s="324" t="s">
        <v>108</v>
      </c>
      <c r="CE36" s="30"/>
      <c r="CF36" s="325">
        <v>44228.0</v>
      </c>
      <c r="CG36" s="326"/>
      <c r="CH36" s="326" t="s">
        <v>91</v>
      </c>
      <c r="CI36" s="326" t="s">
        <v>3</v>
      </c>
      <c r="CJ36" s="326" t="s">
        <v>4</v>
      </c>
      <c r="CK36" s="326" t="s">
        <v>92</v>
      </c>
      <c r="CL36" s="326" t="s">
        <v>93</v>
      </c>
      <c r="CM36" s="326" t="s">
        <v>94</v>
      </c>
      <c r="CN36" s="326" t="s">
        <v>95</v>
      </c>
      <c r="CO36" s="326" t="s">
        <v>96</v>
      </c>
      <c r="CP36" s="326" t="s">
        <v>9</v>
      </c>
      <c r="CQ36" s="326" t="s">
        <v>97</v>
      </c>
      <c r="CR36" s="327" t="s">
        <v>98</v>
      </c>
      <c r="CS36" s="326" t="s">
        <v>99</v>
      </c>
      <c r="CT36" s="326" t="s">
        <v>13</v>
      </c>
      <c r="CU36" s="326" t="s">
        <v>14</v>
      </c>
      <c r="CV36" s="302"/>
      <c r="CW36" s="302"/>
    </row>
    <row r="37">
      <c r="A37" s="304" t="s">
        <v>34</v>
      </c>
      <c r="B37" s="305">
        <v>32600.0</v>
      </c>
      <c r="C37" s="305">
        <v>2200.0</v>
      </c>
      <c r="D37" s="305">
        <v>3204.42</v>
      </c>
      <c r="E37" s="305">
        <v>0.0</v>
      </c>
      <c r="F37" s="305">
        <v>4250.0</v>
      </c>
      <c r="G37" s="305">
        <v>18414.0</v>
      </c>
      <c r="H37" s="305">
        <v>0.0</v>
      </c>
      <c r="I37" s="305">
        <v>20645.0</v>
      </c>
      <c r="J37" s="305">
        <v>9132.0</v>
      </c>
      <c r="K37" s="305">
        <v>880.0</v>
      </c>
      <c r="L37" s="305">
        <v>0.0</v>
      </c>
      <c r="M37" s="305">
        <v>4165.0</v>
      </c>
      <c r="N37" s="305">
        <v>32746.0</v>
      </c>
      <c r="O37" s="305">
        <v>0.0</v>
      </c>
      <c r="P37" s="306">
        <v>95636.42</v>
      </c>
      <c r="Q37" s="304"/>
      <c r="R37" s="304"/>
      <c r="S37" s="328">
        <v>20550.0</v>
      </c>
      <c r="T37" s="328">
        <v>1899.27</v>
      </c>
      <c r="U37" s="328">
        <v>3745.0</v>
      </c>
      <c r="V37" s="328">
        <v>100.0</v>
      </c>
      <c r="W37" s="328">
        <v>915.0</v>
      </c>
      <c r="X37" s="328">
        <v>3947.0</v>
      </c>
      <c r="Y37" s="328">
        <v>2835.0</v>
      </c>
      <c r="Z37" s="328">
        <v>17233.0</v>
      </c>
      <c r="AA37" s="328">
        <v>7822.0</v>
      </c>
      <c r="AB37" s="328">
        <v>3780.0</v>
      </c>
      <c r="AC37" s="328">
        <v>4077.45</v>
      </c>
      <c r="AD37" s="328">
        <v>9360.396</v>
      </c>
      <c r="AE37" s="328">
        <v>28003.0</v>
      </c>
      <c r="AF37" s="328">
        <v>3150.0</v>
      </c>
      <c r="AG37" s="329">
        <v>107417.11600000001</v>
      </c>
      <c r="AH37" s="304"/>
      <c r="AI37" s="304" t="s">
        <v>34</v>
      </c>
      <c r="AJ37" s="308">
        <v>2900.0</v>
      </c>
      <c r="AK37" s="308">
        <v>2136.5</v>
      </c>
      <c r="AL37" s="308">
        <v>3776.98</v>
      </c>
      <c r="AM37" s="308">
        <v>720.0</v>
      </c>
      <c r="AN37" s="308">
        <v>0.0</v>
      </c>
      <c r="AO37" s="308">
        <v>8218.0</v>
      </c>
      <c r="AP37" s="308">
        <v>7600.0</v>
      </c>
      <c r="AQ37" s="308">
        <v>20941.0</v>
      </c>
      <c r="AR37" s="308">
        <v>2883.0</v>
      </c>
      <c r="AS37" s="308">
        <v>2250.0</v>
      </c>
      <c r="AT37" s="308">
        <v>575.1</v>
      </c>
      <c r="AU37" s="308">
        <v>9555.16</v>
      </c>
      <c r="AV37" s="308">
        <v>9015.0</v>
      </c>
      <c r="AW37" s="39">
        <v>70570.73999999999</v>
      </c>
      <c r="AX37" s="304"/>
      <c r="AY37" s="304" t="s">
        <v>34</v>
      </c>
      <c r="AZ37" s="36">
        <v>52403.0</v>
      </c>
      <c r="BA37" s="36">
        <v>2099.0</v>
      </c>
      <c r="BB37" s="36">
        <v>4164.64</v>
      </c>
      <c r="BC37" s="36">
        <v>550.0</v>
      </c>
      <c r="BD37" s="36">
        <v>1650.0</v>
      </c>
      <c r="BE37" s="36">
        <v>11867.2</v>
      </c>
      <c r="BF37" s="36">
        <v>1500.0</v>
      </c>
      <c r="BG37" s="36">
        <v>20438.0</v>
      </c>
      <c r="BH37" s="36">
        <v>2500.0</v>
      </c>
      <c r="BI37" s="36">
        <v>950.0</v>
      </c>
      <c r="BJ37" s="36">
        <v>2318.0</v>
      </c>
      <c r="BK37" s="36">
        <v>3405.0</v>
      </c>
      <c r="BL37" s="36">
        <v>5441.0</v>
      </c>
      <c r="BM37" s="36">
        <v>109285.84</v>
      </c>
      <c r="BO37" s="304" t="s">
        <v>34</v>
      </c>
      <c r="BP37" s="27">
        <v>7980.0</v>
      </c>
      <c r="BQ37" s="27">
        <v>2099.0</v>
      </c>
      <c r="BR37" s="27">
        <v>3102.75</v>
      </c>
      <c r="BS37" s="27">
        <v>950.0</v>
      </c>
      <c r="BT37" s="27">
        <v>2450.0</v>
      </c>
      <c r="BU37" s="27">
        <v>0.0</v>
      </c>
      <c r="BV37" s="27">
        <v>3480.0</v>
      </c>
      <c r="BW37" s="27">
        <v>890.0</v>
      </c>
      <c r="BX37" s="27">
        <v>12333.0</v>
      </c>
      <c r="BY37" s="27">
        <v>2888.0</v>
      </c>
      <c r="BZ37" s="27">
        <v>1440.0</v>
      </c>
      <c r="CA37" s="27">
        <v>4705.110000000001</v>
      </c>
      <c r="CB37" s="27">
        <v>2390.77</v>
      </c>
      <c r="CC37" s="27">
        <v>15914.0</v>
      </c>
      <c r="CD37" s="30">
        <v>60622.63</v>
      </c>
      <c r="CE37" s="30"/>
      <c r="CF37" s="330" t="s">
        <v>100</v>
      </c>
      <c r="CG37" s="330"/>
      <c r="CH37" s="330">
        <v>92950.0</v>
      </c>
      <c r="CI37" s="304">
        <v>1700.0</v>
      </c>
      <c r="CJ37" s="330">
        <v>2125.0</v>
      </c>
      <c r="CK37" s="330">
        <v>10.0</v>
      </c>
      <c r="CL37" s="330">
        <v>0.0</v>
      </c>
      <c r="CM37" s="330">
        <v>9875.2</v>
      </c>
      <c r="CN37" s="304">
        <v>0.0</v>
      </c>
      <c r="CO37" s="330">
        <v>5520.0</v>
      </c>
      <c r="CP37" s="330">
        <v>11577.0</v>
      </c>
      <c r="CQ37" s="330">
        <v>1736.0</v>
      </c>
      <c r="CR37" s="304">
        <v>410.0</v>
      </c>
      <c r="CS37" s="330">
        <v>14946.67</v>
      </c>
      <c r="CT37" s="330">
        <v>3152.626</v>
      </c>
      <c r="CU37" s="330">
        <v>7350.0</v>
      </c>
      <c r="CV37" s="317">
        <v>151352.49599999998</v>
      </c>
      <c r="CW37" s="330" t="s">
        <v>101</v>
      </c>
    </row>
    <row r="38">
      <c r="A38" s="304" t="s">
        <v>119</v>
      </c>
      <c r="B38" s="314">
        <v>-7600.0</v>
      </c>
      <c r="C38" s="306">
        <v>300.0</v>
      </c>
      <c r="D38" s="306">
        <v>1795.58</v>
      </c>
      <c r="E38" s="306">
        <v>800.0</v>
      </c>
      <c r="F38" s="306">
        <v>11750.0</v>
      </c>
      <c r="G38" s="306">
        <v>-13414.0</v>
      </c>
      <c r="H38" s="306">
        <v>7000.0</v>
      </c>
      <c r="I38" s="314">
        <v>-10645.0</v>
      </c>
      <c r="J38" s="314">
        <v>-2132.0</v>
      </c>
      <c r="K38" s="306">
        <v>3120.0</v>
      </c>
      <c r="L38" s="314">
        <v>5000.0</v>
      </c>
      <c r="M38" s="314">
        <v>3835.0</v>
      </c>
      <c r="N38" s="314">
        <v>-26746.0</v>
      </c>
      <c r="O38" s="305">
        <v>4000.0</v>
      </c>
      <c r="P38" s="314">
        <v>9663.580000000002</v>
      </c>
      <c r="Q38" s="304"/>
      <c r="R38" s="304"/>
      <c r="S38" s="329">
        <v>4450.0</v>
      </c>
      <c r="T38" s="329">
        <v>600.73</v>
      </c>
      <c r="U38" s="329">
        <v>1255.0</v>
      </c>
      <c r="V38" s="329">
        <v>700.0</v>
      </c>
      <c r="W38" s="329">
        <v>3585.0</v>
      </c>
      <c r="X38" s="329">
        <v>53.0</v>
      </c>
      <c r="Y38" s="329">
        <v>3165.0</v>
      </c>
      <c r="Z38" s="331">
        <v>-2233.0</v>
      </c>
      <c r="AA38" s="329">
        <v>-822.0</v>
      </c>
      <c r="AB38" s="329">
        <v>220.0</v>
      </c>
      <c r="AC38" s="331">
        <v>-77.44999999999982</v>
      </c>
      <c r="AD38" s="331">
        <v>-2560.3960000000006</v>
      </c>
      <c r="AE38" s="331">
        <v>-25003.0</v>
      </c>
      <c r="AF38" s="328">
        <v>850.0</v>
      </c>
      <c r="AG38" s="331">
        <v>-15817.116000000002</v>
      </c>
      <c r="AH38" s="304"/>
      <c r="AI38" s="304" t="s">
        <v>119</v>
      </c>
      <c r="AJ38" s="316">
        <v>100.0</v>
      </c>
      <c r="AK38" s="39">
        <v>63.5</v>
      </c>
      <c r="AL38" s="316">
        <v>1723.02</v>
      </c>
      <c r="AM38" s="39">
        <v>280.0</v>
      </c>
      <c r="AN38" s="39">
        <v>3000.0</v>
      </c>
      <c r="AO38" s="39">
        <v>-5218.0</v>
      </c>
      <c r="AP38" s="39">
        <v>-1600.0</v>
      </c>
      <c r="AQ38" s="316">
        <v>-5941.0</v>
      </c>
      <c r="AR38" s="39">
        <v>117.0</v>
      </c>
      <c r="AS38" s="39">
        <v>2750.0</v>
      </c>
      <c r="AT38" s="39">
        <v>1424.9</v>
      </c>
      <c r="AU38" s="39">
        <v>-2755.16</v>
      </c>
      <c r="AV38" s="316">
        <v>-6015.0</v>
      </c>
      <c r="AW38" s="316">
        <v>-12070.74</v>
      </c>
      <c r="AX38" s="304"/>
      <c r="AY38" s="304" t="s">
        <v>119</v>
      </c>
      <c r="AZ38" s="37">
        <v>-49403.0</v>
      </c>
      <c r="BA38" s="36">
        <v>101.0</v>
      </c>
      <c r="BB38" s="37">
        <v>-164.64000000000033</v>
      </c>
      <c r="BC38" s="36">
        <v>450.0</v>
      </c>
      <c r="BD38" s="36">
        <v>1350.0</v>
      </c>
      <c r="BE38" s="36">
        <v>0.0</v>
      </c>
      <c r="BF38" s="36">
        <v>4500.0</v>
      </c>
      <c r="BG38" s="37">
        <v>-3438.0</v>
      </c>
      <c r="BH38" s="36">
        <v>500.0</v>
      </c>
      <c r="BI38" s="36">
        <v>6050.0</v>
      </c>
      <c r="BJ38" s="36">
        <v>2682.0</v>
      </c>
      <c r="BK38" s="36">
        <v>195.0</v>
      </c>
      <c r="BL38" s="37">
        <v>-2441.0</v>
      </c>
      <c r="BM38" s="37">
        <v>-39618.64</v>
      </c>
      <c r="BO38" s="304" t="s">
        <v>119</v>
      </c>
      <c r="BP38" s="332">
        <v>-4980.0</v>
      </c>
      <c r="BQ38" s="30">
        <v>0.0</v>
      </c>
      <c r="BR38" s="30">
        <v>897.25</v>
      </c>
      <c r="BS38" s="30">
        <v>50.0</v>
      </c>
      <c r="BT38" s="30">
        <v>550.0</v>
      </c>
      <c r="BU38" s="30">
        <v>0.0</v>
      </c>
      <c r="BV38" s="332">
        <v>-2180.0</v>
      </c>
      <c r="BW38" s="30">
        <v>1110.0</v>
      </c>
      <c r="BX38" s="30">
        <v>-333.0</v>
      </c>
      <c r="BY38" s="332">
        <v>-1888.0</v>
      </c>
      <c r="BZ38" s="30">
        <v>-440.0</v>
      </c>
      <c r="CA38" s="332">
        <v>-605.1100000000006</v>
      </c>
      <c r="CB38" s="332">
        <v>-1890.77</v>
      </c>
      <c r="CC38" s="332">
        <v>-12914.0</v>
      </c>
      <c r="CD38" s="332">
        <v>-22623.63</v>
      </c>
      <c r="CE38" s="30"/>
      <c r="CF38" s="330" t="s">
        <v>102</v>
      </c>
      <c r="CG38" s="330"/>
      <c r="CH38" s="333">
        <v>-88450.0</v>
      </c>
      <c r="CI38" s="330">
        <v>300.0</v>
      </c>
      <c r="CJ38" s="330">
        <v>1375.0</v>
      </c>
      <c r="CK38" s="330">
        <v>490.0</v>
      </c>
      <c r="CL38" s="330">
        <v>500.0</v>
      </c>
      <c r="CM38" s="330">
        <v>124.79999999999927</v>
      </c>
      <c r="CN38" s="330">
        <v>6500.0</v>
      </c>
      <c r="CO38" s="333">
        <v>-3520.0</v>
      </c>
      <c r="CP38" s="333">
        <v>-1577.0</v>
      </c>
      <c r="CQ38" s="330">
        <v>264.0</v>
      </c>
      <c r="CR38" s="330">
        <v>790.0</v>
      </c>
      <c r="CS38" s="333">
        <v>-11146.67</v>
      </c>
      <c r="CT38" s="330">
        <v>147.3739999999998</v>
      </c>
      <c r="CU38" s="333">
        <v>-2350.0</v>
      </c>
      <c r="CV38" s="333">
        <v>-96552.496</v>
      </c>
      <c r="CW38" s="3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259"/>
      <c r="CG39" s="259"/>
      <c r="CH39" s="259"/>
      <c r="CI39" s="259"/>
      <c r="CJ39" s="259"/>
      <c r="CK39" s="259"/>
      <c r="CL39" s="259"/>
      <c r="CM39" s="259"/>
      <c r="CN39" s="259"/>
      <c r="CO39" s="259"/>
      <c r="CP39" s="259"/>
      <c r="CQ39" s="260"/>
      <c r="CR39" s="259"/>
      <c r="CS39" s="259"/>
      <c r="CT39" s="259"/>
      <c r="CU39" s="259"/>
      <c r="CV39" s="259">
        <v>54799.999999999985</v>
      </c>
      <c r="CW39" s="259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259"/>
      <c r="CG40" s="259"/>
      <c r="CH40" s="259"/>
      <c r="CI40" s="259"/>
      <c r="CJ40" s="259"/>
      <c r="CK40" s="259"/>
      <c r="CL40" s="259"/>
      <c r="CM40" s="259"/>
      <c r="CN40" s="259"/>
      <c r="CO40" s="259"/>
      <c r="CP40" s="259"/>
      <c r="CQ40" s="260"/>
      <c r="CR40" s="259"/>
      <c r="CS40" s="259"/>
      <c r="CT40" s="259"/>
      <c r="CU40" s="259"/>
      <c r="CV40" s="259"/>
      <c r="CW40" s="259"/>
    </row>
    <row r="41">
      <c r="A41" s="264">
        <v>46082.0</v>
      </c>
      <c r="B41" s="334" t="s">
        <v>2</v>
      </c>
      <c r="C41" s="335" t="s">
        <v>3</v>
      </c>
      <c r="D41" s="336" t="s">
        <v>4</v>
      </c>
      <c r="E41" s="337" t="s">
        <v>5</v>
      </c>
      <c r="F41" s="338" t="s">
        <v>6</v>
      </c>
      <c r="G41" s="339" t="s">
        <v>7</v>
      </c>
      <c r="H41" s="340" t="s">
        <v>8</v>
      </c>
      <c r="I41" s="339" t="s">
        <v>9</v>
      </c>
      <c r="J41" s="341" t="s">
        <v>10</v>
      </c>
      <c r="K41" s="342" t="s">
        <v>11</v>
      </c>
      <c r="L41" s="342" t="s">
        <v>12</v>
      </c>
      <c r="M41" s="343" t="s">
        <v>13</v>
      </c>
      <c r="N41" s="335" t="s">
        <v>14</v>
      </c>
      <c r="O41" s="344" t="s">
        <v>15</v>
      </c>
      <c r="P41" s="276" t="s">
        <v>16</v>
      </c>
      <c r="Q41" s="277"/>
      <c r="R41" s="264">
        <v>45717.0</v>
      </c>
      <c r="S41" s="334" t="s">
        <v>2</v>
      </c>
      <c r="T41" s="335" t="s">
        <v>3</v>
      </c>
      <c r="U41" s="336" t="s">
        <v>4</v>
      </c>
      <c r="V41" s="337" t="s">
        <v>5</v>
      </c>
      <c r="W41" s="338" t="s">
        <v>120</v>
      </c>
      <c r="X41" s="339" t="s">
        <v>7</v>
      </c>
      <c r="Y41" s="340" t="s">
        <v>8</v>
      </c>
      <c r="Z41" s="339" t="s">
        <v>9</v>
      </c>
      <c r="AA41" s="341" t="s">
        <v>10</v>
      </c>
      <c r="AB41" s="342" t="s">
        <v>11</v>
      </c>
      <c r="AC41" s="342" t="s">
        <v>12</v>
      </c>
      <c r="AD41" s="343" t="s">
        <v>13</v>
      </c>
      <c r="AE41" s="335" t="s">
        <v>14</v>
      </c>
      <c r="AF41" s="344" t="s">
        <v>15</v>
      </c>
      <c r="AG41" s="276" t="s">
        <v>16</v>
      </c>
      <c r="AH41" s="277"/>
      <c r="AI41" s="264">
        <v>45352.0</v>
      </c>
      <c r="AJ41" s="5" t="s">
        <v>2</v>
      </c>
      <c r="AK41" s="5" t="s">
        <v>3</v>
      </c>
      <c r="AL41" s="6" t="s">
        <v>4</v>
      </c>
      <c r="AM41" s="7" t="s">
        <v>5</v>
      </c>
      <c r="AN41" s="280" t="s">
        <v>103</v>
      </c>
      <c r="AO41" s="9" t="s">
        <v>7</v>
      </c>
      <c r="AP41" s="10" t="s">
        <v>105</v>
      </c>
      <c r="AQ41" s="9" t="s">
        <v>9</v>
      </c>
      <c r="AR41" s="11" t="s">
        <v>106</v>
      </c>
      <c r="AS41" s="12" t="s">
        <v>107</v>
      </c>
      <c r="AT41" s="12" t="s">
        <v>12</v>
      </c>
      <c r="AU41" s="13" t="s">
        <v>13</v>
      </c>
      <c r="AV41" s="5" t="s">
        <v>14</v>
      </c>
      <c r="AW41" s="15" t="s">
        <v>108</v>
      </c>
      <c r="AX41" s="277"/>
      <c r="AY41" s="264">
        <v>44986.0</v>
      </c>
      <c r="AZ41" s="292" t="s">
        <v>2</v>
      </c>
      <c r="BA41" s="292" t="s">
        <v>3</v>
      </c>
      <c r="BB41" s="293" t="s">
        <v>4</v>
      </c>
      <c r="BC41" s="294" t="s">
        <v>5</v>
      </c>
      <c r="BD41" s="295" t="s">
        <v>103</v>
      </c>
      <c r="BE41" s="285" t="s">
        <v>110</v>
      </c>
      <c r="BF41" s="297" t="s">
        <v>115</v>
      </c>
      <c r="BG41" s="296" t="s">
        <v>9</v>
      </c>
      <c r="BH41" s="298" t="s">
        <v>97</v>
      </c>
      <c r="BI41" s="299" t="s">
        <v>98</v>
      </c>
      <c r="BJ41" s="299" t="s">
        <v>12</v>
      </c>
      <c r="BK41" s="300" t="s">
        <v>13</v>
      </c>
      <c r="BL41" s="292" t="s">
        <v>14</v>
      </c>
      <c r="BM41" s="290" t="s">
        <v>112</v>
      </c>
      <c r="BO41" s="323"/>
      <c r="BP41" s="292" t="s">
        <v>2</v>
      </c>
      <c r="BQ41" s="292" t="s">
        <v>3</v>
      </c>
      <c r="BR41" s="293" t="s">
        <v>4</v>
      </c>
      <c r="BS41" s="294" t="s">
        <v>113</v>
      </c>
      <c r="BT41" s="295" t="s">
        <v>121</v>
      </c>
      <c r="BU41" s="296" t="s">
        <v>114</v>
      </c>
      <c r="BV41" s="296" t="s">
        <v>93</v>
      </c>
      <c r="BW41" s="297" t="s">
        <v>115</v>
      </c>
      <c r="BX41" s="296" t="s">
        <v>9</v>
      </c>
      <c r="BY41" s="298" t="s">
        <v>97</v>
      </c>
      <c r="BZ41" s="299" t="s">
        <v>98</v>
      </c>
      <c r="CA41" s="299" t="s">
        <v>12</v>
      </c>
      <c r="CB41" s="300" t="s">
        <v>13</v>
      </c>
      <c r="CC41" s="292" t="s">
        <v>14</v>
      </c>
      <c r="CD41" s="324" t="s">
        <v>108</v>
      </c>
      <c r="CE41" s="30"/>
      <c r="CF41" s="345">
        <v>44256.0</v>
      </c>
      <c r="CG41" s="346"/>
      <c r="CH41" s="303" t="s">
        <v>2</v>
      </c>
      <c r="CI41" s="303" t="s">
        <v>3</v>
      </c>
      <c r="CJ41" s="303" t="s">
        <v>4</v>
      </c>
      <c r="CK41" s="303" t="s">
        <v>113</v>
      </c>
      <c r="CL41" s="303" t="s">
        <v>93</v>
      </c>
      <c r="CM41" s="303" t="s">
        <v>114</v>
      </c>
      <c r="CN41" s="347" t="s">
        <v>122</v>
      </c>
      <c r="CO41" s="303" t="s">
        <v>96</v>
      </c>
      <c r="CP41" s="303" t="s">
        <v>9</v>
      </c>
      <c r="CQ41" s="303" t="s">
        <v>97</v>
      </c>
      <c r="CR41" s="303" t="s">
        <v>98</v>
      </c>
      <c r="CS41" s="303" t="s">
        <v>12</v>
      </c>
      <c r="CT41" s="303" t="s">
        <v>13</v>
      </c>
      <c r="CU41" s="303" t="s">
        <v>14</v>
      </c>
      <c r="CV41" s="303" t="s">
        <v>108</v>
      </c>
      <c r="CW41" s="259"/>
    </row>
    <row r="42">
      <c r="A42" s="304"/>
      <c r="B42" s="305">
        <v>33373.0</v>
      </c>
      <c r="C42" s="305">
        <v>2400.0</v>
      </c>
      <c r="D42" s="305">
        <v>0.0</v>
      </c>
      <c r="E42" s="305">
        <v>0.0</v>
      </c>
      <c r="F42" s="305">
        <v>0.0</v>
      </c>
      <c r="G42" s="305">
        <v>13816.0</v>
      </c>
      <c r="H42" s="305">
        <v>2000.0</v>
      </c>
      <c r="I42" s="305">
        <v>12952.0</v>
      </c>
      <c r="J42" s="305">
        <v>9273.0</v>
      </c>
      <c r="K42" s="305">
        <v>6050.0</v>
      </c>
      <c r="L42" s="305">
        <v>6539.53</v>
      </c>
      <c r="M42" s="305">
        <v>8040.677</v>
      </c>
      <c r="N42" s="305">
        <v>29125.0</v>
      </c>
      <c r="O42" s="305">
        <v>0.0</v>
      </c>
      <c r="P42" s="306">
        <v>90196.207</v>
      </c>
      <c r="Q42" s="304"/>
      <c r="R42" s="304"/>
      <c r="S42" s="305">
        <v>24265.0</v>
      </c>
      <c r="T42" s="305">
        <v>2199.0</v>
      </c>
      <c r="U42" s="305">
        <v>4480.0</v>
      </c>
      <c r="V42" s="305">
        <v>6275.0</v>
      </c>
      <c r="W42" s="305">
        <v>7030.0</v>
      </c>
      <c r="X42" s="305">
        <v>6712.0</v>
      </c>
      <c r="Y42" s="305">
        <v>3690.0</v>
      </c>
      <c r="Z42" s="305">
        <v>15599.0</v>
      </c>
      <c r="AA42" s="305">
        <v>10192.0</v>
      </c>
      <c r="AB42" s="305">
        <v>6925.0</v>
      </c>
      <c r="AC42" s="305">
        <v>3830.55</v>
      </c>
      <c r="AD42" s="305">
        <v>6575.146000000001</v>
      </c>
      <c r="AE42" s="305">
        <v>39138.0</v>
      </c>
      <c r="AF42" s="305">
        <v>3141.0</v>
      </c>
      <c r="AG42" s="306">
        <v>140051.696</v>
      </c>
      <c r="AH42" s="304"/>
      <c r="AI42" s="304" t="s">
        <v>34</v>
      </c>
      <c r="AJ42" s="348">
        <f t="shared" ref="AJ42:AN42" si="3">SUM(AJ25:AJ36)</f>
        <v>3000</v>
      </c>
      <c r="AK42" s="348">
        <f t="shared" si="3"/>
        <v>2200</v>
      </c>
      <c r="AL42" s="348">
        <f t="shared" si="3"/>
        <v>5500</v>
      </c>
      <c r="AM42" s="348">
        <f t="shared" si="3"/>
        <v>1000</v>
      </c>
      <c r="AN42" s="348">
        <f t="shared" si="3"/>
        <v>3000</v>
      </c>
      <c r="AO42" s="348">
        <f>SUM(AO25:AO41)</f>
        <v>6300</v>
      </c>
      <c r="AP42" s="348">
        <f>SUM(AP25:AP31)</f>
        <v>0</v>
      </c>
      <c r="AQ42" s="348">
        <f t="shared" ref="AQ42:AS42" si="4">SUM(AQ25:AQ41)</f>
        <v>32000</v>
      </c>
      <c r="AR42" s="348">
        <f t="shared" si="4"/>
        <v>6000</v>
      </c>
      <c r="AS42" s="348">
        <f t="shared" si="4"/>
        <v>10000</v>
      </c>
      <c r="AT42" s="348">
        <f>SUM(AT25:AT36)</f>
        <v>5500</v>
      </c>
      <c r="AU42" s="348">
        <f t="shared" ref="AU42:AV42" si="5">SUM(AU25:AU41)</f>
        <v>13600</v>
      </c>
      <c r="AV42" s="348">
        <f t="shared" si="5"/>
        <v>6000</v>
      </c>
      <c r="AW42" s="349">
        <f>SUM(AJ42:AV42)</f>
        <v>94100</v>
      </c>
      <c r="AX42" s="304"/>
      <c r="AY42" s="304" t="s">
        <v>34</v>
      </c>
      <c r="AZ42" s="305">
        <v>2284.0</v>
      </c>
      <c r="BA42" s="305">
        <v>0.0</v>
      </c>
      <c r="BB42" s="305">
        <v>4500.0</v>
      </c>
      <c r="BC42" s="305">
        <v>920.0</v>
      </c>
      <c r="BD42" s="305">
        <v>4700.0</v>
      </c>
      <c r="BE42" s="305">
        <v>11867.0</v>
      </c>
      <c r="BF42" s="305">
        <v>5300.0</v>
      </c>
      <c r="BG42" s="305">
        <v>17710.0</v>
      </c>
      <c r="BH42" s="305">
        <v>403.0</v>
      </c>
      <c r="BI42" s="305">
        <v>4750.0</v>
      </c>
      <c r="BJ42" s="305">
        <v>2915.0</v>
      </c>
      <c r="BK42" s="305">
        <v>3425.0</v>
      </c>
      <c r="BL42" s="305">
        <v>8268.0</v>
      </c>
      <c r="BM42" s="305">
        <v>62542.0</v>
      </c>
      <c r="BO42" s="304" t="s">
        <v>34</v>
      </c>
      <c r="BP42" s="21">
        <v>62142.0</v>
      </c>
      <c r="BQ42" s="21">
        <v>1949.08</v>
      </c>
      <c r="BR42" s="21">
        <v>3508.0</v>
      </c>
      <c r="BS42" s="21">
        <v>972.5</v>
      </c>
      <c r="BT42" s="21">
        <v>4576.0</v>
      </c>
      <c r="BU42" s="21">
        <v>0.0</v>
      </c>
      <c r="BV42" s="21">
        <v>1130.0</v>
      </c>
      <c r="BW42" s="21">
        <v>750.0</v>
      </c>
      <c r="BX42" s="21">
        <v>20724.0</v>
      </c>
      <c r="BY42" s="21">
        <v>1793.0</v>
      </c>
      <c r="BZ42" s="21">
        <v>1242.0</v>
      </c>
      <c r="CA42" s="21">
        <v>5117.0</v>
      </c>
      <c r="CB42" s="21">
        <v>6110.332</v>
      </c>
      <c r="CC42" s="21">
        <v>15840.0</v>
      </c>
      <c r="CD42" s="350">
        <v>125853.912</v>
      </c>
      <c r="CE42" s="30"/>
      <c r="CF42" s="330" t="s">
        <v>100</v>
      </c>
      <c r="CG42" s="30"/>
      <c r="CH42" s="304">
        <v>52650.0</v>
      </c>
      <c r="CI42" s="304">
        <v>999.0</v>
      </c>
      <c r="CJ42" s="330">
        <v>1450.0</v>
      </c>
      <c r="CK42" s="330">
        <v>0.0</v>
      </c>
      <c r="CL42" s="330">
        <v>0.0</v>
      </c>
      <c r="CM42" s="330">
        <v>9875.2</v>
      </c>
      <c r="CN42" s="304">
        <v>0.0</v>
      </c>
      <c r="CO42" s="330">
        <v>7750.0</v>
      </c>
      <c r="CP42" s="330">
        <v>17792.0</v>
      </c>
      <c r="CQ42" s="330">
        <v>2835.0</v>
      </c>
      <c r="CR42" s="304">
        <v>500.0</v>
      </c>
      <c r="CS42" s="330">
        <v>0.0</v>
      </c>
      <c r="CT42" s="330">
        <v>6738.294</v>
      </c>
      <c r="CU42" s="330">
        <v>15400.0</v>
      </c>
      <c r="CV42" s="317">
        <v>115989.49399999999</v>
      </c>
      <c r="CW42" s="330" t="s">
        <v>101</v>
      </c>
    </row>
    <row r="43">
      <c r="A43" s="304"/>
      <c r="B43" s="306">
        <v>-8373.0</v>
      </c>
      <c r="C43" s="306">
        <v>100.0</v>
      </c>
      <c r="D43" s="306">
        <v>5000.0</v>
      </c>
      <c r="E43" s="314">
        <v>800.0</v>
      </c>
      <c r="F43" s="314">
        <v>16000.0</v>
      </c>
      <c r="G43" s="314">
        <v>-8816.0</v>
      </c>
      <c r="H43" s="306">
        <v>5000.0</v>
      </c>
      <c r="I43" s="314">
        <v>-2952.0</v>
      </c>
      <c r="J43" s="314">
        <v>-2273.0</v>
      </c>
      <c r="K43" s="306">
        <v>-2050.0</v>
      </c>
      <c r="L43" s="306">
        <v>-1539.5299999999997</v>
      </c>
      <c r="M43" s="306">
        <v>-40.67699999999968</v>
      </c>
      <c r="N43" s="314">
        <v>-23125.0</v>
      </c>
      <c r="O43" s="305">
        <v>4000.0</v>
      </c>
      <c r="P43" s="314">
        <v>15103.793000000005</v>
      </c>
      <c r="Q43" s="304"/>
      <c r="R43" s="304"/>
      <c r="S43" s="306">
        <v>735.0</v>
      </c>
      <c r="T43" s="306">
        <v>301.0</v>
      </c>
      <c r="U43" s="306">
        <v>520.0</v>
      </c>
      <c r="V43" s="314">
        <v>-5475.0</v>
      </c>
      <c r="W43" s="314">
        <v>-2530.0</v>
      </c>
      <c r="X43" s="314">
        <v>-1712.0</v>
      </c>
      <c r="Y43" s="306">
        <v>2310.0</v>
      </c>
      <c r="Z43" s="314">
        <v>-599.0</v>
      </c>
      <c r="AA43" s="314">
        <v>-3192.0</v>
      </c>
      <c r="AB43" s="306">
        <v>-2925.0</v>
      </c>
      <c r="AC43" s="306">
        <v>1169.4499999999998</v>
      </c>
      <c r="AD43" s="306">
        <v>1424.8539999999994</v>
      </c>
      <c r="AE43" s="314">
        <v>-33138.0</v>
      </c>
      <c r="AF43" s="305">
        <v>859.0</v>
      </c>
      <c r="AG43" s="314">
        <v>-42251.695999999996</v>
      </c>
      <c r="AH43" s="304"/>
      <c r="AI43" s="304" t="s">
        <v>119</v>
      </c>
      <c r="AJ43" s="351">
        <f t="shared" ref="AJ43:AV43" si="6">AJ24-AJ42</f>
        <v>-3000</v>
      </c>
      <c r="AK43" s="352">
        <f t="shared" si="6"/>
        <v>-2200</v>
      </c>
      <c r="AL43" s="352">
        <f t="shared" si="6"/>
        <v>-5500</v>
      </c>
      <c r="AM43" s="352">
        <f t="shared" si="6"/>
        <v>-1000</v>
      </c>
      <c r="AN43" s="352">
        <f t="shared" si="6"/>
        <v>-3000</v>
      </c>
      <c r="AO43" s="351">
        <f t="shared" si="6"/>
        <v>-6300</v>
      </c>
      <c r="AP43" s="353">
        <f t="shared" si="6"/>
        <v>0</v>
      </c>
      <c r="AQ43" s="351">
        <f t="shared" si="6"/>
        <v>-32000</v>
      </c>
      <c r="AR43" s="353">
        <f t="shared" si="6"/>
        <v>-6000</v>
      </c>
      <c r="AS43" s="353">
        <f t="shared" si="6"/>
        <v>-10000</v>
      </c>
      <c r="AT43" s="353">
        <f t="shared" si="6"/>
        <v>-5500</v>
      </c>
      <c r="AU43" s="353">
        <f t="shared" si="6"/>
        <v>-13600</v>
      </c>
      <c r="AV43" s="351">
        <f t="shared" si="6"/>
        <v>-6000</v>
      </c>
      <c r="AW43" s="351"/>
      <c r="AX43" s="304"/>
      <c r="AY43" s="304" t="s">
        <v>119</v>
      </c>
      <c r="AZ43" s="305">
        <v>716.0</v>
      </c>
      <c r="BA43" s="305">
        <v>2200.0</v>
      </c>
      <c r="BB43" s="305">
        <v>4000.0</v>
      </c>
      <c r="BC43" s="305">
        <v>80.0</v>
      </c>
      <c r="BD43" s="315">
        <v>-1700.0</v>
      </c>
      <c r="BE43" s="305">
        <v>0.0</v>
      </c>
      <c r="BF43" s="305">
        <v>700.0</v>
      </c>
      <c r="BG43" s="315">
        <v>-710.0</v>
      </c>
      <c r="BH43" s="305">
        <v>2597.0</v>
      </c>
      <c r="BI43" s="305">
        <v>2250.0</v>
      </c>
      <c r="BJ43" s="305">
        <v>2085.0</v>
      </c>
      <c r="BK43" s="305">
        <v>175.0</v>
      </c>
      <c r="BL43" s="315">
        <v>-5268.0</v>
      </c>
      <c r="BM43" s="305">
        <v>7125.0</v>
      </c>
      <c r="BO43" s="304" t="s">
        <v>119</v>
      </c>
      <c r="BP43" s="332">
        <v>-59142.0</v>
      </c>
      <c r="BQ43" s="30">
        <v>149.92000000000007</v>
      </c>
      <c r="BR43" s="30">
        <v>492.0</v>
      </c>
      <c r="BS43" s="30">
        <v>27.5</v>
      </c>
      <c r="BT43" s="332">
        <v>-1576.0</v>
      </c>
      <c r="BU43" s="30">
        <v>0.0</v>
      </c>
      <c r="BV43" s="30">
        <v>70.0</v>
      </c>
      <c r="BW43" s="30">
        <v>250.0</v>
      </c>
      <c r="BX43" s="332">
        <v>-8724.0</v>
      </c>
      <c r="BY43" s="332">
        <v>-793.0</v>
      </c>
      <c r="BZ43" s="332">
        <v>-242.0</v>
      </c>
      <c r="CA43" s="30">
        <v>2483.0</v>
      </c>
      <c r="CB43" s="332">
        <v>-1110.3320000000003</v>
      </c>
      <c r="CC43" s="332">
        <v>-12840.0</v>
      </c>
      <c r="CD43" s="332">
        <v>-80954.912</v>
      </c>
      <c r="CE43" s="30"/>
      <c r="CF43" s="330" t="s">
        <v>102</v>
      </c>
      <c r="CG43" s="30"/>
      <c r="CH43" s="333">
        <v>-27650.0</v>
      </c>
      <c r="CI43" s="330">
        <v>1001.0</v>
      </c>
      <c r="CJ43" s="330">
        <v>1050.0</v>
      </c>
      <c r="CK43" s="330">
        <v>500.0</v>
      </c>
      <c r="CL43" s="330">
        <v>500.0</v>
      </c>
      <c r="CM43" s="330">
        <v>124.79999999999927</v>
      </c>
      <c r="CN43" s="330">
        <v>20000.0</v>
      </c>
      <c r="CO43" s="333">
        <v>-5750.0</v>
      </c>
      <c r="CP43" s="333">
        <v>-7792.0</v>
      </c>
      <c r="CQ43" s="333">
        <v>-835.0</v>
      </c>
      <c r="CR43" s="330">
        <v>700.0</v>
      </c>
      <c r="CS43" s="330">
        <v>0.0</v>
      </c>
      <c r="CT43" s="333">
        <v>-2738.294</v>
      </c>
      <c r="CU43" s="333">
        <v>-10400.0</v>
      </c>
      <c r="CV43" s="333">
        <v>-31289.494</v>
      </c>
      <c r="CW43" s="3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259"/>
      <c r="CG44" s="259"/>
      <c r="CH44" s="259"/>
      <c r="CI44" s="259"/>
      <c r="CJ44" s="259"/>
      <c r="CK44" s="259"/>
      <c r="CL44" s="259"/>
      <c r="CM44" s="259"/>
      <c r="CN44" s="259"/>
      <c r="CO44" s="259"/>
      <c r="CP44" s="259"/>
      <c r="CQ44" s="260"/>
      <c r="CR44" s="259"/>
      <c r="CS44" s="259"/>
      <c r="CT44" s="259"/>
      <c r="CU44" s="30"/>
      <c r="CV44" s="259">
        <v>84700.0</v>
      </c>
      <c r="CW44" s="259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259"/>
      <c r="CG45" s="259"/>
      <c r="CH45" s="259"/>
      <c r="CI45" s="259"/>
      <c r="CJ45" s="259"/>
      <c r="CK45" s="259"/>
      <c r="CL45" s="259"/>
      <c r="CM45" s="259"/>
      <c r="CN45" s="259"/>
      <c r="CO45" s="259"/>
      <c r="CP45" s="259"/>
      <c r="CQ45" s="260"/>
      <c r="CR45" s="259"/>
      <c r="CS45" s="259"/>
      <c r="CT45" s="259"/>
      <c r="CU45" s="259"/>
      <c r="CV45" s="259"/>
      <c r="CW45" s="259"/>
    </row>
    <row r="46">
      <c r="A46" s="264">
        <v>46113.0</v>
      </c>
      <c r="B46" s="334" t="s">
        <v>2</v>
      </c>
      <c r="C46" s="335" t="s">
        <v>3</v>
      </c>
      <c r="D46" s="336" t="s">
        <v>4</v>
      </c>
      <c r="E46" s="337" t="s">
        <v>5</v>
      </c>
      <c r="F46" s="338" t="s">
        <v>120</v>
      </c>
      <c r="G46" s="339" t="s">
        <v>7</v>
      </c>
      <c r="H46" s="340" t="s">
        <v>8</v>
      </c>
      <c r="I46" s="339" t="s">
        <v>9</v>
      </c>
      <c r="J46" s="341" t="s">
        <v>10</v>
      </c>
      <c r="K46" s="342" t="s">
        <v>11</v>
      </c>
      <c r="L46" s="342" t="s">
        <v>12</v>
      </c>
      <c r="M46" s="343" t="s">
        <v>13</v>
      </c>
      <c r="N46" s="335" t="s">
        <v>14</v>
      </c>
      <c r="O46" s="344" t="s">
        <v>15</v>
      </c>
      <c r="P46" s="276" t="s">
        <v>16</v>
      </c>
      <c r="Q46" s="277"/>
      <c r="R46" s="264">
        <v>45748.0</v>
      </c>
      <c r="S46" s="334" t="s">
        <v>2</v>
      </c>
      <c r="T46" s="335" t="s">
        <v>3</v>
      </c>
      <c r="U46" s="336" t="s">
        <v>4</v>
      </c>
      <c r="V46" s="337" t="s">
        <v>5</v>
      </c>
      <c r="W46" s="338" t="s">
        <v>120</v>
      </c>
      <c r="X46" s="339" t="s">
        <v>7</v>
      </c>
      <c r="Y46" s="340" t="s">
        <v>8</v>
      </c>
      <c r="Z46" s="339" t="s">
        <v>9</v>
      </c>
      <c r="AA46" s="341" t="s">
        <v>10</v>
      </c>
      <c r="AB46" s="342" t="s">
        <v>11</v>
      </c>
      <c r="AC46" s="342" t="s">
        <v>12</v>
      </c>
      <c r="AD46" s="343" t="s">
        <v>13</v>
      </c>
      <c r="AE46" s="335" t="s">
        <v>14</v>
      </c>
      <c r="AF46" s="344" t="s">
        <v>15</v>
      </c>
      <c r="AG46" s="276" t="s">
        <v>16</v>
      </c>
      <c r="AH46" s="277"/>
      <c r="AI46" s="264">
        <v>45383.0</v>
      </c>
      <c r="AJ46" s="5" t="s">
        <v>2</v>
      </c>
      <c r="AK46" s="5" t="s">
        <v>3</v>
      </c>
      <c r="AL46" s="6" t="s">
        <v>4</v>
      </c>
      <c r="AM46" s="7" t="s">
        <v>5</v>
      </c>
      <c r="AN46" s="280" t="s">
        <v>103</v>
      </c>
      <c r="AO46" s="9" t="s">
        <v>7</v>
      </c>
      <c r="AP46" s="10" t="s">
        <v>105</v>
      </c>
      <c r="AQ46" s="9" t="s">
        <v>9</v>
      </c>
      <c r="AR46" s="11" t="s">
        <v>106</v>
      </c>
      <c r="AS46" s="12" t="s">
        <v>107</v>
      </c>
      <c r="AT46" s="12" t="s">
        <v>12</v>
      </c>
      <c r="AU46" s="13" t="s">
        <v>13</v>
      </c>
      <c r="AV46" s="5" t="s">
        <v>14</v>
      </c>
      <c r="AW46" s="15" t="s">
        <v>108</v>
      </c>
      <c r="AX46" s="277"/>
      <c r="AY46" s="264">
        <v>45017.0</v>
      </c>
      <c r="AZ46" s="292" t="s">
        <v>2</v>
      </c>
      <c r="BA46" s="292" t="s">
        <v>3</v>
      </c>
      <c r="BB46" s="293" t="s">
        <v>4</v>
      </c>
      <c r="BC46" s="294" t="s">
        <v>5</v>
      </c>
      <c r="BD46" s="295" t="s">
        <v>103</v>
      </c>
      <c r="BE46" s="285" t="s">
        <v>110</v>
      </c>
      <c r="BF46" s="297" t="s">
        <v>115</v>
      </c>
      <c r="BG46" s="296" t="s">
        <v>9</v>
      </c>
      <c r="BH46" s="298" t="s">
        <v>97</v>
      </c>
      <c r="BI46" s="299" t="s">
        <v>98</v>
      </c>
      <c r="BJ46" s="299" t="s">
        <v>12</v>
      </c>
      <c r="BK46" s="300" t="s">
        <v>13</v>
      </c>
      <c r="BL46" s="292" t="s">
        <v>14</v>
      </c>
      <c r="BM46" s="290" t="s">
        <v>112</v>
      </c>
      <c r="BO46" s="298"/>
      <c r="BP46" s="292" t="s">
        <v>2</v>
      </c>
      <c r="BQ46" s="292" t="s">
        <v>3</v>
      </c>
      <c r="BR46" s="293" t="s">
        <v>4</v>
      </c>
      <c r="BS46" s="294" t="s">
        <v>5</v>
      </c>
      <c r="BT46" s="295" t="s">
        <v>103</v>
      </c>
      <c r="BU46" s="296" t="s">
        <v>93</v>
      </c>
      <c r="BV46" s="297" t="s">
        <v>115</v>
      </c>
      <c r="BW46" s="296" t="s">
        <v>9</v>
      </c>
      <c r="BX46" s="298" t="s">
        <v>97</v>
      </c>
      <c r="BY46" s="299" t="s">
        <v>98</v>
      </c>
      <c r="BZ46" s="299" t="s">
        <v>12</v>
      </c>
      <c r="CA46" s="300" t="s">
        <v>13</v>
      </c>
      <c r="CB46" s="292" t="s">
        <v>14</v>
      </c>
      <c r="CC46" s="324" t="s">
        <v>108</v>
      </c>
      <c r="CD46" s="30"/>
      <c r="CE46" s="30"/>
      <c r="CF46" s="325">
        <v>44287.0</v>
      </c>
      <c r="CG46" s="354"/>
      <c r="CH46" s="303" t="s">
        <v>2</v>
      </c>
      <c r="CI46" s="354" t="s">
        <v>3</v>
      </c>
      <c r="CJ46" s="354" t="s">
        <v>4</v>
      </c>
      <c r="CK46" s="354" t="s">
        <v>92</v>
      </c>
      <c r="CL46" s="354" t="s">
        <v>93</v>
      </c>
      <c r="CM46" s="354" t="s">
        <v>94</v>
      </c>
      <c r="CN46" s="354" t="s">
        <v>95</v>
      </c>
      <c r="CO46" s="354" t="s">
        <v>96</v>
      </c>
      <c r="CP46" s="354" t="s">
        <v>9</v>
      </c>
      <c r="CQ46" s="355" t="s">
        <v>97</v>
      </c>
      <c r="CR46" s="327" t="s">
        <v>98</v>
      </c>
      <c r="CS46" s="354" t="s">
        <v>99</v>
      </c>
      <c r="CT46" s="354" t="s">
        <v>13</v>
      </c>
      <c r="CU46" s="354" t="s">
        <v>14</v>
      </c>
      <c r="CV46" s="356"/>
      <c r="CW46" s="356"/>
    </row>
    <row r="47">
      <c r="A47" s="304"/>
      <c r="B47" s="305"/>
      <c r="C47" s="305"/>
      <c r="D47" s="305"/>
      <c r="E47" s="305"/>
      <c r="F47" s="305"/>
      <c r="G47" s="305"/>
      <c r="H47" s="305"/>
      <c r="I47" s="305"/>
      <c r="J47" s="305"/>
      <c r="K47" s="305"/>
      <c r="L47" s="305"/>
      <c r="M47" s="305"/>
      <c r="N47" s="305"/>
      <c r="O47" s="305"/>
      <c r="P47" s="306"/>
      <c r="Q47" s="304"/>
      <c r="R47" s="304"/>
      <c r="S47" s="305">
        <v>23101.0</v>
      </c>
      <c r="T47" s="305">
        <v>2205.0</v>
      </c>
      <c r="U47" s="305">
        <v>3339.0</v>
      </c>
      <c r="V47" s="305">
        <v>100.0</v>
      </c>
      <c r="W47" s="305">
        <v>1500.0</v>
      </c>
      <c r="X47" s="305">
        <v>10106.0</v>
      </c>
      <c r="Y47" s="305">
        <v>6040.0</v>
      </c>
      <c r="Z47" s="305">
        <v>21126.0</v>
      </c>
      <c r="AA47" s="305">
        <v>9043.0</v>
      </c>
      <c r="AB47" s="305">
        <v>3950.0</v>
      </c>
      <c r="AC47" s="305">
        <v>4063.0</v>
      </c>
      <c r="AD47" s="305">
        <v>6034.0</v>
      </c>
      <c r="AE47" s="305">
        <v>20879.0</v>
      </c>
      <c r="AF47" s="305">
        <v>3400.0</v>
      </c>
      <c r="AG47" s="306">
        <v>114886.0</v>
      </c>
      <c r="AH47" s="304"/>
      <c r="AI47" s="304" t="s">
        <v>34</v>
      </c>
      <c r="AJ47" s="348">
        <f t="shared" ref="AJ47:AN47" si="7">SUM(AJ30:AJ41)</f>
        <v>6000</v>
      </c>
      <c r="AK47" s="348">
        <f t="shared" si="7"/>
        <v>4400</v>
      </c>
      <c r="AL47" s="348">
        <f t="shared" si="7"/>
        <v>11000</v>
      </c>
      <c r="AM47" s="348">
        <f t="shared" si="7"/>
        <v>2000</v>
      </c>
      <c r="AN47" s="348">
        <f t="shared" si="7"/>
        <v>6000</v>
      </c>
      <c r="AO47" s="348">
        <f>SUM(AO30:AO46)</f>
        <v>6300</v>
      </c>
      <c r="AP47" s="348">
        <f>SUM(AP30:AP36)</f>
        <v>6000</v>
      </c>
      <c r="AQ47" s="348">
        <f t="shared" ref="AQ47:AS47" si="8">SUM(AQ30:AQ46)</f>
        <v>32000</v>
      </c>
      <c r="AR47" s="348">
        <f t="shared" si="8"/>
        <v>6000</v>
      </c>
      <c r="AS47" s="348">
        <f t="shared" si="8"/>
        <v>10000</v>
      </c>
      <c r="AT47" s="348">
        <f>SUM(AT30:AT41)</f>
        <v>7500</v>
      </c>
      <c r="AU47" s="348">
        <f t="shared" ref="AU47:AV47" si="9">SUM(AU30:AU46)</f>
        <v>13600</v>
      </c>
      <c r="AV47" s="348">
        <f t="shared" si="9"/>
        <v>6000</v>
      </c>
      <c r="AW47" s="349">
        <f>SUM(AJ47:AV47)</f>
        <v>116800</v>
      </c>
      <c r="AX47" s="304"/>
      <c r="AY47" s="304" t="s">
        <v>34</v>
      </c>
      <c r="AZ47" s="38">
        <v>6150.0</v>
      </c>
      <c r="BA47" s="38">
        <v>0.0</v>
      </c>
      <c r="BB47" s="38">
        <v>0.0</v>
      </c>
      <c r="BC47" s="38">
        <v>400.0</v>
      </c>
      <c r="BD47" s="38">
        <v>1380.0</v>
      </c>
      <c r="BE47" s="38">
        <v>11882.0</v>
      </c>
      <c r="BF47" s="38">
        <v>6100.0</v>
      </c>
      <c r="BG47" s="38">
        <v>31350.0</v>
      </c>
      <c r="BH47" s="38">
        <v>600.0</v>
      </c>
      <c r="BI47" s="38">
        <v>7553.0</v>
      </c>
      <c r="BJ47" s="38">
        <v>7182.0</v>
      </c>
      <c r="BK47" s="38">
        <v>9048.880000000001</v>
      </c>
      <c r="BL47" s="38">
        <v>8583.0</v>
      </c>
      <c r="BM47" s="36">
        <v>90228.88</v>
      </c>
      <c r="BO47" s="304" t="s">
        <v>34</v>
      </c>
      <c r="BP47" s="27">
        <v>1700.0</v>
      </c>
      <c r="BQ47" s="27">
        <v>2477.0</v>
      </c>
      <c r="BR47" s="27">
        <v>4270.0</v>
      </c>
      <c r="BS47" s="27">
        <v>981.0</v>
      </c>
      <c r="BT47" s="27">
        <v>2210.0</v>
      </c>
      <c r="BU47" s="27">
        <v>0.0</v>
      </c>
      <c r="BV47" s="27">
        <v>8385.0</v>
      </c>
      <c r="BW47" s="27">
        <v>18551.0</v>
      </c>
      <c r="BX47" s="27">
        <v>3567.0</v>
      </c>
      <c r="BY47" s="27">
        <v>250.0</v>
      </c>
      <c r="BZ47" s="27">
        <v>4790.6</v>
      </c>
      <c r="CA47" s="27">
        <v>4962.030000000001</v>
      </c>
      <c r="CB47" s="27">
        <v>14396.0</v>
      </c>
      <c r="CC47" s="223">
        <v>66539.63</v>
      </c>
      <c r="CD47" s="30"/>
      <c r="CE47" s="30"/>
      <c r="CF47" s="330" t="s">
        <v>100</v>
      </c>
      <c r="CG47" s="330"/>
      <c r="CH47" s="304">
        <v>32079.0</v>
      </c>
      <c r="CI47" s="304">
        <v>2100.0</v>
      </c>
      <c r="CJ47" s="330">
        <v>3087.0</v>
      </c>
      <c r="CK47" s="330">
        <v>0.0</v>
      </c>
      <c r="CL47" s="330">
        <v>0.0</v>
      </c>
      <c r="CM47" s="330">
        <v>9875.2</v>
      </c>
      <c r="CN47" s="304">
        <v>0.0</v>
      </c>
      <c r="CO47" s="330">
        <v>12590.0</v>
      </c>
      <c r="CP47" s="330">
        <v>9783.0</v>
      </c>
      <c r="CQ47" s="330">
        <v>1060.0</v>
      </c>
      <c r="CR47" s="304">
        <v>1200.0</v>
      </c>
      <c r="CS47" s="330">
        <v>500.0</v>
      </c>
      <c r="CT47" s="330">
        <v>4910.322</v>
      </c>
      <c r="CU47" s="330">
        <v>13595.0</v>
      </c>
      <c r="CV47" s="317">
        <v>90779.522</v>
      </c>
      <c r="CW47" s="330" t="s">
        <v>101</v>
      </c>
    </row>
    <row r="48">
      <c r="A48" s="304"/>
      <c r="B48" s="306"/>
      <c r="C48" s="306"/>
      <c r="D48" s="306"/>
      <c r="E48" s="306"/>
      <c r="F48" s="306"/>
      <c r="G48" s="314"/>
      <c r="H48" s="314"/>
      <c r="I48" s="314"/>
      <c r="J48" s="314"/>
      <c r="K48" s="306"/>
      <c r="L48" s="306"/>
      <c r="M48" s="306"/>
      <c r="N48" s="314"/>
      <c r="O48" s="305"/>
      <c r="P48" s="314"/>
      <c r="Q48" s="304"/>
      <c r="R48" s="304"/>
      <c r="S48" s="306">
        <v>1899.0</v>
      </c>
      <c r="T48" s="306">
        <v>295.0</v>
      </c>
      <c r="U48" s="306">
        <v>1661.0</v>
      </c>
      <c r="V48" s="306">
        <v>700.0</v>
      </c>
      <c r="W48" s="306">
        <v>3000.0</v>
      </c>
      <c r="X48" s="314">
        <v>-5106.0</v>
      </c>
      <c r="Y48" s="314">
        <v>-40.0</v>
      </c>
      <c r="Z48" s="314">
        <v>-6126.0</v>
      </c>
      <c r="AA48" s="314">
        <v>-2043.0</v>
      </c>
      <c r="AB48" s="306">
        <v>50.0</v>
      </c>
      <c r="AC48" s="306">
        <v>937.0</v>
      </c>
      <c r="AD48" s="306">
        <v>1966.0</v>
      </c>
      <c r="AE48" s="314">
        <v>-14879.0</v>
      </c>
      <c r="AF48" s="305">
        <v>600.0</v>
      </c>
      <c r="AG48" s="314">
        <v>-17086.0</v>
      </c>
      <c r="AH48" s="304"/>
      <c r="AI48" s="304" t="s">
        <v>119</v>
      </c>
      <c r="AJ48" s="351">
        <f t="shared" ref="AJ48:AV48" si="10">AJ29-AJ47</f>
        <v>-6000</v>
      </c>
      <c r="AK48" s="352">
        <f t="shared" si="10"/>
        <v>-4400</v>
      </c>
      <c r="AL48" s="352">
        <f t="shared" si="10"/>
        <v>-11000</v>
      </c>
      <c r="AM48" s="352">
        <f t="shared" si="10"/>
        <v>-2000</v>
      </c>
      <c r="AN48" s="351">
        <f t="shared" si="10"/>
        <v>-6000</v>
      </c>
      <c r="AO48" s="351">
        <f t="shared" si="10"/>
        <v>-6300</v>
      </c>
      <c r="AP48" s="352">
        <f t="shared" si="10"/>
        <v>-6000</v>
      </c>
      <c r="AQ48" s="351">
        <f t="shared" si="10"/>
        <v>-32000</v>
      </c>
      <c r="AR48" s="351">
        <f t="shared" si="10"/>
        <v>-6000</v>
      </c>
      <c r="AS48" s="352">
        <f t="shared" si="10"/>
        <v>-10000</v>
      </c>
      <c r="AT48" s="351">
        <f t="shared" si="10"/>
        <v>-7500</v>
      </c>
      <c r="AU48" s="352">
        <f t="shared" si="10"/>
        <v>-13600</v>
      </c>
      <c r="AV48" s="351">
        <f t="shared" si="10"/>
        <v>-6000</v>
      </c>
      <c r="AW48" s="351"/>
      <c r="AX48" s="304"/>
      <c r="AY48" s="304" t="s">
        <v>119</v>
      </c>
      <c r="AZ48" s="37">
        <v>-3150.0</v>
      </c>
      <c r="BA48" s="36">
        <v>2200.0</v>
      </c>
      <c r="BB48" s="38">
        <v>4520.09</v>
      </c>
      <c r="BC48" s="36">
        <v>600.0</v>
      </c>
      <c r="BD48" s="36">
        <v>1620.0</v>
      </c>
      <c r="BE48" s="37">
        <v>-14.799999999999272</v>
      </c>
      <c r="BF48" s="37">
        <v>-100.0</v>
      </c>
      <c r="BG48" s="37">
        <v>-14350.0</v>
      </c>
      <c r="BH48" s="36">
        <v>2400.0</v>
      </c>
      <c r="BI48" s="36">
        <v>-553.0</v>
      </c>
      <c r="BJ48" s="36">
        <v>-2182.0</v>
      </c>
      <c r="BK48" s="37">
        <v>-5448.880000000001</v>
      </c>
      <c r="BL48" s="36">
        <v>-5583.0</v>
      </c>
      <c r="BM48" s="37">
        <v>-20561.68</v>
      </c>
      <c r="BO48" s="304" t="s">
        <v>119</v>
      </c>
      <c r="BP48" s="30">
        <v>1300.0</v>
      </c>
      <c r="BQ48" s="332">
        <v>-378.0</v>
      </c>
      <c r="BR48" s="332">
        <v>-270.0</v>
      </c>
      <c r="BS48" s="30">
        <v>19.0</v>
      </c>
      <c r="BT48" s="30">
        <v>790.0</v>
      </c>
      <c r="BU48" s="30">
        <v>3350.0</v>
      </c>
      <c r="BV48" s="332">
        <v>-4385.0</v>
      </c>
      <c r="BW48" s="332">
        <v>-6551.0</v>
      </c>
      <c r="BX48" s="332">
        <v>-2567.0</v>
      </c>
      <c r="BY48" s="30">
        <v>750.0</v>
      </c>
      <c r="BZ48" s="30">
        <v>209.39999999999964</v>
      </c>
      <c r="CA48" s="30">
        <v>37.969999999999345</v>
      </c>
      <c r="CB48" s="332">
        <v>-11396.0</v>
      </c>
      <c r="CC48" s="332">
        <v>-19090.63</v>
      </c>
      <c r="CD48" s="30"/>
      <c r="CE48" s="30"/>
      <c r="CF48" s="330" t="s">
        <v>102</v>
      </c>
      <c r="CG48" s="330"/>
      <c r="CH48" s="333">
        <v>-22079.0</v>
      </c>
      <c r="CI48" s="333">
        <v>-100.0</v>
      </c>
      <c r="CJ48" s="333">
        <v>-587.0</v>
      </c>
      <c r="CK48" s="330">
        <v>500.0</v>
      </c>
      <c r="CL48" s="330">
        <v>500.0</v>
      </c>
      <c r="CM48" s="330">
        <v>124.79999999999927</v>
      </c>
      <c r="CN48" s="330">
        <v>0.0</v>
      </c>
      <c r="CO48" s="333">
        <v>-9590.0</v>
      </c>
      <c r="CP48" s="330">
        <v>217.0</v>
      </c>
      <c r="CQ48" s="330">
        <v>940.0</v>
      </c>
      <c r="CR48" s="330">
        <v>0.0</v>
      </c>
      <c r="CS48" s="330">
        <v>4500.0</v>
      </c>
      <c r="CT48" s="330">
        <v>589.6779999999999</v>
      </c>
      <c r="CU48" s="333">
        <v>-8595.0</v>
      </c>
      <c r="CV48" s="333">
        <v>-33579.522</v>
      </c>
      <c r="CW48" s="3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259"/>
      <c r="CG49" s="259"/>
      <c r="CH49" s="259"/>
      <c r="CI49" s="259"/>
      <c r="CJ49" s="259"/>
      <c r="CK49" s="259"/>
      <c r="CL49" s="259"/>
      <c r="CM49" s="259"/>
      <c r="CN49" s="259"/>
      <c r="CO49" s="259"/>
      <c r="CP49" s="259"/>
      <c r="CQ49" s="260"/>
      <c r="CR49" s="259"/>
      <c r="CS49" s="259"/>
      <c r="CT49" s="259"/>
      <c r="CU49" s="259"/>
      <c r="CV49" s="259"/>
      <c r="CW49" s="259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259"/>
      <c r="CG50" s="259"/>
      <c r="CH50" s="259"/>
      <c r="CI50" s="259"/>
      <c r="CJ50" s="259"/>
      <c r="CK50" s="259"/>
      <c r="CL50" s="259"/>
      <c r="CM50" s="259"/>
      <c r="CN50" s="259"/>
      <c r="CO50" s="259"/>
      <c r="CP50" s="259"/>
      <c r="CQ50" s="260"/>
      <c r="CR50" s="259"/>
      <c r="CS50" s="259"/>
      <c r="CT50" s="259"/>
      <c r="CU50" s="259"/>
      <c r="CV50" s="259"/>
      <c r="CW50" s="259"/>
    </row>
    <row r="51">
      <c r="A51" s="264"/>
      <c r="B51" s="334" t="s">
        <v>2</v>
      </c>
      <c r="C51" s="335" t="s">
        <v>3</v>
      </c>
      <c r="D51" s="336" t="s">
        <v>4</v>
      </c>
      <c r="E51" s="337" t="s">
        <v>5</v>
      </c>
      <c r="F51" s="338" t="s">
        <v>120</v>
      </c>
      <c r="G51" s="339" t="s">
        <v>7</v>
      </c>
      <c r="H51" s="340" t="s">
        <v>8</v>
      </c>
      <c r="I51" s="339" t="s">
        <v>9</v>
      </c>
      <c r="J51" s="341" t="s">
        <v>10</v>
      </c>
      <c r="K51" s="342" t="s">
        <v>11</v>
      </c>
      <c r="L51" s="342" t="s">
        <v>12</v>
      </c>
      <c r="M51" s="343" t="s">
        <v>13</v>
      </c>
      <c r="N51" s="335" t="s">
        <v>14</v>
      </c>
      <c r="O51" s="344" t="s">
        <v>15</v>
      </c>
      <c r="P51" s="276" t="s">
        <v>16</v>
      </c>
      <c r="Q51" s="277"/>
      <c r="R51" s="264">
        <v>45778.0</v>
      </c>
      <c r="S51" s="334" t="s">
        <v>2</v>
      </c>
      <c r="T51" s="335" t="s">
        <v>3</v>
      </c>
      <c r="U51" s="336" t="s">
        <v>4</v>
      </c>
      <c r="V51" s="337" t="s">
        <v>5</v>
      </c>
      <c r="W51" s="338" t="s">
        <v>120</v>
      </c>
      <c r="X51" s="339" t="s">
        <v>7</v>
      </c>
      <c r="Y51" s="340" t="s">
        <v>8</v>
      </c>
      <c r="Z51" s="339" t="s">
        <v>9</v>
      </c>
      <c r="AA51" s="341" t="s">
        <v>10</v>
      </c>
      <c r="AB51" s="342" t="s">
        <v>11</v>
      </c>
      <c r="AC51" s="342" t="s">
        <v>12</v>
      </c>
      <c r="AD51" s="343" t="s">
        <v>13</v>
      </c>
      <c r="AE51" s="335" t="s">
        <v>14</v>
      </c>
      <c r="AF51" s="344" t="s">
        <v>15</v>
      </c>
      <c r="AG51" s="276" t="s">
        <v>16</v>
      </c>
      <c r="AH51" s="277"/>
      <c r="AI51" s="264">
        <v>45413.0</v>
      </c>
      <c r="AJ51" s="5" t="s">
        <v>2</v>
      </c>
      <c r="AK51" s="5" t="s">
        <v>3</v>
      </c>
      <c r="AL51" s="6" t="s">
        <v>4</v>
      </c>
      <c r="AM51" s="7" t="s">
        <v>5</v>
      </c>
      <c r="AN51" s="280" t="s">
        <v>103</v>
      </c>
      <c r="AO51" s="9" t="s">
        <v>7</v>
      </c>
      <c r="AP51" s="10" t="s">
        <v>105</v>
      </c>
      <c r="AQ51" s="9" t="s">
        <v>9</v>
      </c>
      <c r="AR51" s="11" t="s">
        <v>106</v>
      </c>
      <c r="AS51" s="12" t="s">
        <v>107</v>
      </c>
      <c r="AT51" s="12" t="s">
        <v>12</v>
      </c>
      <c r="AU51" s="13" t="s">
        <v>13</v>
      </c>
      <c r="AV51" s="5" t="s">
        <v>14</v>
      </c>
      <c r="AW51" s="15" t="s">
        <v>108</v>
      </c>
      <c r="AX51" s="277"/>
      <c r="AY51" s="264">
        <v>45047.0</v>
      </c>
      <c r="AZ51" s="292" t="s">
        <v>2</v>
      </c>
      <c r="BA51" s="292" t="s">
        <v>3</v>
      </c>
      <c r="BB51" s="293" t="s">
        <v>4</v>
      </c>
      <c r="BC51" s="294" t="s">
        <v>5</v>
      </c>
      <c r="BD51" s="295" t="s">
        <v>103</v>
      </c>
      <c r="BE51" s="285" t="s">
        <v>110</v>
      </c>
      <c r="BF51" s="297" t="s">
        <v>115</v>
      </c>
      <c r="BG51" s="296" t="s">
        <v>9</v>
      </c>
      <c r="BH51" s="298" t="s">
        <v>97</v>
      </c>
      <c r="BI51" s="299" t="s">
        <v>98</v>
      </c>
      <c r="BJ51" s="299" t="s">
        <v>12</v>
      </c>
      <c r="BK51" s="300" t="s">
        <v>13</v>
      </c>
      <c r="BL51" s="292" t="s">
        <v>14</v>
      </c>
      <c r="BM51" s="290" t="s">
        <v>112</v>
      </c>
      <c r="BO51" s="298"/>
      <c r="BP51" s="292" t="s">
        <v>2</v>
      </c>
      <c r="BQ51" s="292" t="s">
        <v>3</v>
      </c>
      <c r="BR51" s="293" t="s">
        <v>4</v>
      </c>
      <c r="BS51" s="294" t="s">
        <v>5</v>
      </c>
      <c r="BT51" s="295" t="s">
        <v>103</v>
      </c>
      <c r="BU51" s="296" t="s">
        <v>93</v>
      </c>
      <c r="BV51" s="297" t="s">
        <v>115</v>
      </c>
      <c r="BW51" s="296" t="s">
        <v>9</v>
      </c>
      <c r="BX51" s="298" t="s">
        <v>97</v>
      </c>
      <c r="BY51" s="299" t="s">
        <v>98</v>
      </c>
      <c r="BZ51" s="299" t="s">
        <v>12</v>
      </c>
      <c r="CA51" s="300" t="s">
        <v>13</v>
      </c>
      <c r="CB51" s="292" t="s">
        <v>14</v>
      </c>
      <c r="CC51" s="324" t="s">
        <v>108</v>
      </c>
      <c r="CD51" s="30"/>
      <c r="CE51" s="30"/>
      <c r="CF51" s="345">
        <v>44317.0</v>
      </c>
      <c r="CG51" s="357"/>
      <c r="CH51" s="303" t="s">
        <v>2</v>
      </c>
      <c r="CI51" s="357" t="s">
        <v>3</v>
      </c>
      <c r="CJ51" s="357" t="s">
        <v>4</v>
      </c>
      <c r="CK51" s="357" t="s">
        <v>92</v>
      </c>
      <c r="CL51" s="357" t="s">
        <v>93</v>
      </c>
      <c r="CM51" s="357" t="s">
        <v>94</v>
      </c>
      <c r="CN51" s="357" t="s">
        <v>95</v>
      </c>
      <c r="CO51" s="357" t="s">
        <v>96</v>
      </c>
      <c r="CP51" s="357" t="s">
        <v>9</v>
      </c>
      <c r="CQ51" s="358" t="s">
        <v>97</v>
      </c>
      <c r="CR51" s="359" t="s">
        <v>98</v>
      </c>
      <c r="CS51" s="357" t="s">
        <v>99</v>
      </c>
      <c r="CT51" s="357" t="s">
        <v>13</v>
      </c>
      <c r="CU51" s="357" t="s">
        <v>14</v>
      </c>
      <c r="CV51" s="259"/>
      <c r="CW51" s="259"/>
    </row>
    <row r="52">
      <c r="A52" s="304"/>
      <c r="B52" s="305"/>
      <c r="C52" s="305"/>
      <c r="D52" s="305"/>
      <c r="E52" s="305"/>
      <c r="F52" s="305"/>
      <c r="G52" s="305"/>
      <c r="H52" s="305"/>
      <c r="I52" s="305"/>
      <c r="J52" s="305"/>
      <c r="K52" s="305"/>
      <c r="L52" s="305"/>
      <c r="M52" s="305"/>
      <c r="N52" s="305"/>
      <c r="O52" s="305"/>
      <c r="P52" s="306"/>
      <c r="Q52" s="304"/>
      <c r="R52" s="304"/>
      <c r="S52" s="305">
        <v>32657.0</v>
      </c>
      <c r="T52" s="305">
        <v>1606.0</v>
      </c>
      <c r="U52" s="305">
        <v>5036.45</v>
      </c>
      <c r="V52" s="305">
        <v>545.0</v>
      </c>
      <c r="W52" s="305">
        <v>1600.0</v>
      </c>
      <c r="X52" s="305">
        <v>8515.0</v>
      </c>
      <c r="Y52" s="305">
        <v>10400.0</v>
      </c>
      <c r="Z52" s="305">
        <v>23291.5</v>
      </c>
      <c r="AA52" s="305">
        <v>4898.0</v>
      </c>
      <c r="AB52" s="305">
        <v>5620.0</v>
      </c>
      <c r="AC52" s="305">
        <v>3397.1</v>
      </c>
      <c r="AD52" s="305">
        <v>6780.0</v>
      </c>
      <c r="AE52" s="305">
        <v>13642.0</v>
      </c>
      <c r="AF52" s="305">
        <v>3141.0</v>
      </c>
      <c r="AG52" s="306">
        <v>121129.05</v>
      </c>
      <c r="AH52" s="304"/>
      <c r="AI52" s="304" t="s">
        <v>34</v>
      </c>
      <c r="AJ52" s="20">
        <v>64409.0</v>
      </c>
      <c r="AK52" s="20">
        <v>2400.0</v>
      </c>
      <c r="AL52" s="20">
        <v>6126.88</v>
      </c>
      <c r="AM52" s="20">
        <v>700.0</v>
      </c>
      <c r="AN52" s="20">
        <v>4385.0</v>
      </c>
      <c r="AO52" s="20">
        <v>5789.0</v>
      </c>
      <c r="AP52" s="20">
        <v>7310.0</v>
      </c>
      <c r="AQ52" s="20">
        <v>23866.0</v>
      </c>
      <c r="AR52" s="20">
        <v>2482.0</v>
      </c>
      <c r="AS52" s="20">
        <v>1150.0</v>
      </c>
      <c r="AT52" s="20">
        <v>4908.0</v>
      </c>
      <c r="AU52" s="20">
        <v>11760.5</v>
      </c>
      <c r="AV52" s="20">
        <v>17593.0</v>
      </c>
      <c r="AW52" s="360">
        <v>152879.38</v>
      </c>
      <c r="AX52" s="304"/>
      <c r="AY52" s="304" t="s">
        <v>34</v>
      </c>
      <c r="AZ52" s="20">
        <v>14519.0</v>
      </c>
      <c r="BA52" s="20">
        <v>2200.0</v>
      </c>
      <c r="BB52" s="20">
        <v>5555.0</v>
      </c>
      <c r="BC52" s="20">
        <v>900.0</v>
      </c>
      <c r="BD52" s="20">
        <v>170.0</v>
      </c>
      <c r="BE52" s="20">
        <v>11867.0</v>
      </c>
      <c r="BF52" s="20">
        <v>3350.0</v>
      </c>
      <c r="BG52" s="20">
        <v>26215.1</v>
      </c>
      <c r="BH52" s="20">
        <v>3188.5</v>
      </c>
      <c r="BI52" s="20">
        <v>4100.0</v>
      </c>
      <c r="BJ52" s="20">
        <v>4590.9</v>
      </c>
      <c r="BK52" s="20">
        <v>10935.0</v>
      </c>
      <c r="BL52" s="20">
        <v>10532.0</v>
      </c>
      <c r="BM52" s="360">
        <v>98122.5</v>
      </c>
      <c r="BO52" s="304" t="s">
        <v>34</v>
      </c>
      <c r="BP52" s="35">
        <v>950.0</v>
      </c>
      <c r="BQ52" s="35">
        <v>2336.5</v>
      </c>
      <c r="BR52" s="35">
        <v>4369.0</v>
      </c>
      <c r="BS52" s="35">
        <v>960.0</v>
      </c>
      <c r="BT52" s="35">
        <v>11030.0</v>
      </c>
      <c r="BU52" s="35">
        <v>0.0</v>
      </c>
      <c r="BV52" s="35">
        <v>4646.0</v>
      </c>
      <c r="BW52" s="35">
        <v>16707.0</v>
      </c>
      <c r="BX52" s="35">
        <v>625.0</v>
      </c>
      <c r="BY52" s="35">
        <v>0.0</v>
      </c>
      <c r="BZ52" s="35">
        <v>7324.0</v>
      </c>
      <c r="CA52" s="35">
        <v>5404.0</v>
      </c>
      <c r="CB52" s="35">
        <v>7792.0</v>
      </c>
      <c r="CC52" s="361">
        <v>62143.5</v>
      </c>
      <c r="CD52" s="30"/>
      <c r="CE52" s="30"/>
      <c r="CF52" s="330" t="s">
        <v>100</v>
      </c>
      <c r="CG52" s="330"/>
      <c r="CH52" s="304">
        <v>52060.0</v>
      </c>
      <c r="CI52" s="304">
        <v>2000.0</v>
      </c>
      <c r="CJ52" s="330">
        <v>3385.0</v>
      </c>
      <c r="CK52" s="330">
        <v>285.0</v>
      </c>
      <c r="CL52" s="330">
        <v>0.0</v>
      </c>
      <c r="CM52" s="330">
        <v>0.0</v>
      </c>
      <c r="CN52" s="304">
        <v>0.0</v>
      </c>
      <c r="CO52" s="330">
        <v>7375.0</v>
      </c>
      <c r="CP52" s="330">
        <v>12985.0</v>
      </c>
      <c r="CQ52" s="330">
        <v>5700.0</v>
      </c>
      <c r="CR52" s="304">
        <v>0.0</v>
      </c>
      <c r="CS52" s="330">
        <v>2957.702</v>
      </c>
      <c r="CT52" s="330">
        <v>6877.576</v>
      </c>
      <c r="CU52" s="330">
        <v>10795.9</v>
      </c>
      <c r="CV52" s="317">
        <v>104421.178</v>
      </c>
      <c r="CW52" s="330" t="s">
        <v>101</v>
      </c>
    </row>
    <row r="53">
      <c r="A53" s="304"/>
      <c r="B53" s="314"/>
      <c r="C53" s="306"/>
      <c r="D53" s="314"/>
      <c r="E53" s="306"/>
      <c r="F53" s="306"/>
      <c r="G53" s="314"/>
      <c r="H53" s="314"/>
      <c r="I53" s="314"/>
      <c r="J53" s="306"/>
      <c r="K53" s="314"/>
      <c r="L53" s="306"/>
      <c r="M53" s="306"/>
      <c r="N53" s="314"/>
      <c r="O53" s="305"/>
      <c r="P53" s="314"/>
      <c r="Q53" s="304"/>
      <c r="R53" s="304"/>
      <c r="S53" s="314">
        <v>-7657.0</v>
      </c>
      <c r="T53" s="306">
        <v>894.0</v>
      </c>
      <c r="U53" s="314">
        <v>-36.44999999999982</v>
      </c>
      <c r="V53" s="306">
        <v>255.0</v>
      </c>
      <c r="W53" s="306">
        <v>2900.0</v>
      </c>
      <c r="X53" s="314">
        <v>-3515.0</v>
      </c>
      <c r="Y53" s="314">
        <v>-3400.0</v>
      </c>
      <c r="Z53" s="314">
        <v>-8291.5</v>
      </c>
      <c r="AA53" s="306">
        <v>2102.0</v>
      </c>
      <c r="AB53" s="314">
        <v>-1620.0</v>
      </c>
      <c r="AC53" s="306">
        <v>1602.9</v>
      </c>
      <c r="AD53" s="306">
        <v>1220.0</v>
      </c>
      <c r="AE53" s="314">
        <v>-7642.0</v>
      </c>
      <c r="AF53" s="305">
        <v>859.0</v>
      </c>
      <c r="AG53" s="314">
        <v>-22329.05</v>
      </c>
      <c r="AH53" s="304"/>
      <c r="AI53" s="304" t="s">
        <v>119</v>
      </c>
      <c r="AJ53" s="316">
        <v>-61409.0</v>
      </c>
      <c r="AK53" s="316">
        <v>-200.0</v>
      </c>
      <c r="AL53" s="316">
        <v>-626.8800000000001</v>
      </c>
      <c r="AM53" s="362">
        <v>300.0</v>
      </c>
      <c r="AN53" s="316">
        <v>-1385.0</v>
      </c>
      <c r="AO53" s="316">
        <v>-2789.0</v>
      </c>
      <c r="AP53" s="316">
        <v>-1310.0</v>
      </c>
      <c r="AQ53" s="316">
        <v>-8866.0</v>
      </c>
      <c r="AR53" s="316">
        <v>518.0</v>
      </c>
      <c r="AS53" s="362">
        <v>3850.0</v>
      </c>
      <c r="AT53" s="362">
        <v>92.0</v>
      </c>
      <c r="AU53" s="316">
        <v>-4960.5</v>
      </c>
      <c r="AV53" s="316">
        <v>-14593.0</v>
      </c>
      <c r="AW53" s="316">
        <v>-91379.38</v>
      </c>
      <c r="AX53" s="304"/>
      <c r="AY53" s="304" t="s">
        <v>119</v>
      </c>
      <c r="AZ53" s="362">
        <v>-11519.0</v>
      </c>
      <c r="BA53" s="362">
        <v>0.0</v>
      </c>
      <c r="BB53" s="362">
        <v>-1555.0</v>
      </c>
      <c r="BC53" s="362">
        <v>100.0</v>
      </c>
      <c r="BD53" s="362">
        <v>2830.0</v>
      </c>
      <c r="BE53" s="362">
        <v>0.2000000000007276</v>
      </c>
      <c r="BF53" s="362">
        <v>2650.0</v>
      </c>
      <c r="BG53" s="316">
        <v>-9215.099999999999</v>
      </c>
      <c r="BH53" s="316">
        <v>-188.5</v>
      </c>
      <c r="BI53" s="362">
        <v>2900.0</v>
      </c>
      <c r="BJ53" s="362">
        <v>409.10000000000036</v>
      </c>
      <c r="BK53" s="316">
        <v>-4335.0</v>
      </c>
      <c r="BL53" s="316">
        <v>-7532.0</v>
      </c>
      <c r="BM53" s="362">
        <v>-25455.299999999996</v>
      </c>
      <c r="BO53" s="304" t="s">
        <v>119</v>
      </c>
      <c r="BP53" s="363">
        <v>2050.0</v>
      </c>
      <c r="BQ53" s="364">
        <v>-136.5</v>
      </c>
      <c r="BR53" s="365">
        <v>-369.0</v>
      </c>
      <c r="BS53" s="363">
        <v>40.0</v>
      </c>
      <c r="BT53" s="364">
        <v>-8030.0</v>
      </c>
      <c r="BU53" s="363">
        <v>3408.0</v>
      </c>
      <c r="BV53" s="365">
        <v>-646.0</v>
      </c>
      <c r="BW53" s="366">
        <v>-4707.0</v>
      </c>
      <c r="BX53" s="363">
        <v>375.0</v>
      </c>
      <c r="BY53" s="363">
        <v>1000.0</v>
      </c>
      <c r="BZ53" s="366">
        <v>-324.0</v>
      </c>
      <c r="CA53" s="366">
        <v>-404.0</v>
      </c>
      <c r="CB53" s="366">
        <v>-4792.0</v>
      </c>
      <c r="CC53" s="367">
        <v>-12535.5</v>
      </c>
      <c r="CD53" s="30"/>
      <c r="CE53" s="30"/>
      <c r="CF53" s="330" t="s">
        <v>102</v>
      </c>
      <c r="CG53" s="330"/>
      <c r="CH53" s="333">
        <v>-22060.0</v>
      </c>
      <c r="CI53" s="330">
        <v>0.0</v>
      </c>
      <c r="CJ53" s="333">
        <v>-385.0</v>
      </c>
      <c r="CK53" s="330">
        <v>215.0</v>
      </c>
      <c r="CL53" s="330">
        <v>500.0</v>
      </c>
      <c r="CM53" s="330">
        <v>10000.0</v>
      </c>
      <c r="CN53" s="330">
        <v>0.0</v>
      </c>
      <c r="CO53" s="333">
        <v>-2375.0</v>
      </c>
      <c r="CP53" s="333">
        <v>-2985.0</v>
      </c>
      <c r="CQ53" s="333">
        <v>-3700.0</v>
      </c>
      <c r="CR53" s="330">
        <v>1500.0</v>
      </c>
      <c r="CS53" s="330">
        <v>42.297999999999774</v>
      </c>
      <c r="CT53" s="333">
        <v>-1377.576</v>
      </c>
      <c r="CU53" s="333">
        <v>-5795.9</v>
      </c>
      <c r="CV53" s="333">
        <v>-26421.178</v>
      </c>
      <c r="CW53" s="330"/>
    </row>
    <row r="54">
      <c r="A54" s="368"/>
      <c r="B54" s="368"/>
      <c r="C54" s="368"/>
      <c r="D54" s="368"/>
      <c r="E54" s="368"/>
      <c r="F54" s="368"/>
      <c r="G54" s="368"/>
      <c r="H54" s="368"/>
      <c r="I54" s="368"/>
      <c r="J54" s="368"/>
      <c r="K54" s="368"/>
      <c r="L54" s="368"/>
      <c r="M54" s="368"/>
      <c r="N54" s="368"/>
      <c r="O54" s="368"/>
      <c r="P54" s="368"/>
      <c r="Q54" s="368"/>
      <c r="R54" s="368"/>
      <c r="S54" s="368"/>
      <c r="T54" s="368"/>
      <c r="U54" s="368"/>
      <c r="V54" s="368"/>
      <c r="W54" s="368"/>
      <c r="X54" s="368"/>
      <c r="Y54" s="368"/>
      <c r="Z54" s="368"/>
      <c r="AA54" s="368"/>
      <c r="AB54" s="368"/>
      <c r="AC54" s="368"/>
      <c r="AD54" s="368"/>
      <c r="AE54" s="368"/>
      <c r="AF54" s="368"/>
      <c r="AG54" s="368"/>
      <c r="AH54" s="368"/>
      <c r="AI54" s="368"/>
      <c r="AJ54" s="360"/>
      <c r="AK54" s="360"/>
      <c r="AL54" s="360"/>
      <c r="AM54" s="360"/>
      <c r="AN54" s="360"/>
      <c r="AO54" s="360"/>
      <c r="AP54" s="360"/>
      <c r="AQ54" s="360"/>
      <c r="AR54" s="360"/>
      <c r="AS54" s="360"/>
      <c r="AT54" s="360"/>
      <c r="AU54" s="360"/>
      <c r="AV54" s="360"/>
      <c r="AW54" s="369"/>
      <c r="AX54" s="368"/>
      <c r="AY54" s="368"/>
      <c r="AZ54" s="360"/>
      <c r="BA54" s="360"/>
      <c r="BB54" s="360"/>
      <c r="BC54" s="360"/>
      <c r="BD54" s="360"/>
      <c r="BE54" s="360"/>
      <c r="BF54" s="360"/>
      <c r="BG54" s="360"/>
      <c r="BH54" s="360"/>
      <c r="BI54" s="360"/>
      <c r="BJ54" s="360"/>
      <c r="BK54" s="360"/>
      <c r="BL54" s="360"/>
      <c r="BM54" s="369">
        <v>72667.20000000001</v>
      </c>
      <c r="BO54" s="368"/>
      <c r="BP54" s="368"/>
      <c r="BQ54" s="368"/>
      <c r="BR54" s="368"/>
      <c r="BS54" s="368"/>
      <c r="BT54" s="368"/>
      <c r="BU54" s="368"/>
      <c r="BV54" s="368"/>
      <c r="BW54" s="368"/>
      <c r="BX54" s="368"/>
      <c r="BY54" s="368"/>
      <c r="BZ54" s="368"/>
      <c r="CA54" s="368"/>
      <c r="CB54" s="368"/>
      <c r="CC54" s="30"/>
      <c r="CD54" s="30"/>
      <c r="CE54" s="30"/>
      <c r="CF54" s="259"/>
      <c r="CG54" s="259"/>
      <c r="CH54" s="259"/>
      <c r="CI54" s="259"/>
      <c r="CJ54" s="259"/>
      <c r="CK54" s="259"/>
      <c r="CL54" s="259"/>
      <c r="CM54" s="259"/>
      <c r="CN54" s="259"/>
      <c r="CO54" s="259"/>
      <c r="CP54" s="259"/>
      <c r="CQ54" s="260"/>
      <c r="CR54" s="259"/>
      <c r="CS54" s="259"/>
      <c r="CT54" s="259"/>
      <c r="CU54" s="259"/>
      <c r="CV54" s="259">
        <v>78000.0</v>
      </c>
      <c r="CW54" s="259"/>
    </row>
    <row r="55">
      <c r="A55" s="264"/>
      <c r="B55" s="4" t="s">
        <v>2</v>
      </c>
      <c r="C55" s="5" t="s">
        <v>3</v>
      </c>
      <c r="D55" s="6" t="s">
        <v>4</v>
      </c>
      <c r="E55" s="7" t="s">
        <v>5</v>
      </c>
      <c r="F55" s="8" t="s">
        <v>120</v>
      </c>
      <c r="G55" s="9" t="s">
        <v>7</v>
      </c>
      <c r="H55" s="10" t="s">
        <v>8</v>
      </c>
      <c r="I55" s="9" t="s">
        <v>9</v>
      </c>
      <c r="J55" s="11" t="s">
        <v>10</v>
      </c>
      <c r="K55" s="12" t="s">
        <v>11</v>
      </c>
      <c r="L55" s="12" t="s">
        <v>12</v>
      </c>
      <c r="M55" s="13" t="s">
        <v>13</v>
      </c>
      <c r="N55" s="5" t="s">
        <v>14</v>
      </c>
      <c r="O55" s="14" t="s">
        <v>15</v>
      </c>
      <c r="P55" s="276" t="s">
        <v>16</v>
      </c>
      <c r="Q55" s="277"/>
      <c r="R55" s="264">
        <v>45809.0</v>
      </c>
      <c r="S55" s="4" t="s">
        <v>2</v>
      </c>
      <c r="T55" s="5" t="s">
        <v>3</v>
      </c>
      <c r="U55" s="6" t="s">
        <v>4</v>
      </c>
      <c r="V55" s="7" t="s">
        <v>5</v>
      </c>
      <c r="W55" s="8" t="s">
        <v>120</v>
      </c>
      <c r="X55" s="9" t="s">
        <v>7</v>
      </c>
      <c r="Y55" s="10" t="s">
        <v>8</v>
      </c>
      <c r="Z55" s="9" t="s">
        <v>9</v>
      </c>
      <c r="AA55" s="11" t="s">
        <v>10</v>
      </c>
      <c r="AB55" s="12" t="s">
        <v>11</v>
      </c>
      <c r="AC55" s="12" t="s">
        <v>12</v>
      </c>
      <c r="AD55" s="13" t="s">
        <v>13</v>
      </c>
      <c r="AE55" s="5" t="s">
        <v>14</v>
      </c>
      <c r="AF55" s="14" t="s">
        <v>15</v>
      </c>
      <c r="AG55" s="276" t="s">
        <v>16</v>
      </c>
      <c r="AH55" s="277"/>
      <c r="AI55" s="264">
        <v>45444.0</v>
      </c>
      <c r="AJ55" s="5" t="s">
        <v>2</v>
      </c>
      <c r="AK55" s="5" t="s">
        <v>3</v>
      </c>
      <c r="AL55" s="6" t="s">
        <v>4</v>
      </c>
      <c r="AM55" s="7" t="s">
        <v>5</v>
      </c>
      <c r="AN55" s="280" t="s">
        <v>103</v>
      </c>
      <c r="AO55" s="9" t="s">
        <v>7</v>
      </c>
      <c r="AP55" s="10" t="s">
        <v>105</v>
      </c>
      <c r="AQ55" s="9" t="s">
        <v>9</v>
      </c>
      <c r="AR55" s="11" t="s">
        <v>106</v>
      </c>
      <c r="AS55" s="12" t="s">
        <v>107</v>
      </c>
      <c r="AT55" s="12" t="s">
        <v>12</v>
      </c>
      <c r="AU55" s="13" t="s">
        <v>13</v>
      </c>
      <c r="AV55" s="5" t="s">
        <v>14</v>
      </c>
      <c r="AW55" s="15" t="s">
        <v>108</v>
      </c>
      <c r="AX55" s="277"/>
      <c r="AY55" s="264">
        <v>45078.0</v>
      </c>
      <c r="AZ55" s="292" t="s">
        <v>2</v>
      </c>
      <c r="BA55" s="292" t="s">
        <v>3</v>
      </c>
      <c r="BB55" s="293" t="s">
        <v>4</v>
      </c>
      <c r="BC55" s="294" t="s">
        <v>5</v>
      </c>
      <c r="BD55" s="295" t="s">
        <v>103</v>
      </c>
      <c r="BE55" s="296" t="s">
        <v>110</v>
      </c>
      <c r="BF55" s="297" t="s">
        <v>115</v>
      </c>
      <c r="BG55" s="296" t="s">
        <v>9</v>
      </c>
      <c r="BH55" s="298" t="s">
        <v>97</v>
      </c>
      <c r="BI55" s="299" t="s">
        <v>98</v>
      </c>
      <c r="BJ55" s="299" t="s">
        <v>12</v>
      </c>
      <c r="BK55" s="300" t="s">
        <v>13</v>
      </c>
      <c r="BL55" s="292" t="s">
        <v>14</v>
      </c>
      <c r="BM55" s="290" t="s">
        <v>112</v>
      </c>
      <c r="BO55" s="298"/>
      <c r="BP55" s="292" t="s">
        <v>2</v>
      </c>
      <c r="BQ55" s="292" t="s">
        <v>3</v>
      </c>
      <c r="BR55" s="293" t="s">
        <v>4</v>
      </c>
      <c r="BS55" s="294" t="s">
        <v>5</v>
      </c>
      <c r="BT55" s="295" t="s">
        <v>103</v>
      </c>
      <c r="BU55" s="296" t="s">
        <v>110</v>
      </c>
      <c r="BV55" s="297" t="s">
        <v>115</v>
      </c>
      <c r="BW55" s="296" t="s">
        <v>9</v>
      </c>
      <c r="BX55" s="298" t="s">
        <v>97</v>
      </c>
      <c r="BY55" s="299" t="s">
        <v>98</v>
      </c>
      <c r="BZ55" s="299" t="s">
        <v>12</v>
      </c>
      <c r="CA55" s="300" t="s">
        <v>13</v>
      </c>
      <c r="CB55" s="292" t="s">
        <v>14</v>
      </c>
      <c r="CC55" s="324" t="s">
        <v>108</v>
      </c>
      <c r="CD55" s="30"/>
      <c r="CE55" s="30"/>
      <c r="CF55" s="325">
        <v>44348.0</v>
      </c>
      <c r="CG55" s="354"/>
      <c r="CH55" s="327" t="s">
        <v>2</v>
      </c>
      <c r="CI55" s="354" t="s">
        <v>3</v>
      </c>
      <c r="CJ55" s="354" t="s">
        <v>4</v>
      </c>
      <c r="CK55" s="354" t="s">
        <v>92</v>
      </c>
      <c r="CL55" s="354" t="s">
        <v>93</v>
      </c>
      <c r="CM55" s="354" t="s">
        <v>94</v>
      </c>
      <c r="CN55" s="354" t="s">
        <v>95</v>
      </c>
      <c r="CO55" s="354" t="s">
        <v>96</v>
      </c>
      <c r="CP55" s="354" t="s">
        <v>9</v>
      </c>
      <c r="CQ55" s="355" t="s">
        <v>97</v>
      </c>
      <c r="CR55" s="327" t="s">
        <v>98</v>
      </c>
      <c r="CS55" s="354" t="s">
        <v>99</v>
      </c>
      <c r="CT55" s="354" t="s">
        <v>13</v>
      </c>
      <c r="CU55" s="354" t="s">
        <v>14</v>
      </c>
      <c r="CV55" s="259"/>
      <c r="CW55" s="259"/>
    </row>
    <row r="56">
      <c r="A56" s="304"/>
      <c r="B56" s="305"/>
      <c r="C56" s="305"/>
      <c r="D56" s="305"/>
      <c r="E56" s="305"/>
      <c r="F56" s="305"/>
      <c r="G56" s="305"/>
      <c r="H56" s="305"/>
      <c r="I56" s="305"/>
      <c r="J56" s="305"/>
      <c r="K56" s="305"/>
      <c r="L56" s="305"/>
      <c r="M56" s="305"/>
      <c r="N56" s="305"/>
      <c r="O56" s="305"/>
      <c r="P56" s="306"/>
      <c r="Q56" s="304"/>
      <c r="R56" s="304"/>
      <c r="S56" s="305">
        <v>40485.0</v>
      </c>
      <c r="T56" s="305">
        <v>1817.0</v>
      </c>
      <c r="U56" s="305">
        <v>3967.36</v>
      </c>
      <c r="V56" s="305">
        <v>0.0</v>
      </c>
      <c r="W56" s="305">
        <v>1500.0</v>
      </c>
      <c r="X56" s="305">
        <v>11426.0</v>
      </c>
      <c r="Y56" s="305">
        <v>12531.0</v>
      </c>
      <c r="Z56" s="305">
        <v>20494.0</v>
      </c>
      <c r="AA56" s="305">
        <v>9070.0</v>
      </c>
      <c r="AB56" s="305">
        <v>12635.0</v>
      </c>
      <c r="AC56" s="305">
        <v>3476.27</v>
      </c>
      <c r="AD56" s="305">
        <v>4337.238</v>
      </c>
      <c r="AE56" s="305">
        <v>21900.0</v>
      </c>
      <c r="AF56" s="305">
        <v>3141.0</v>
      </c>
      <c r="AG56" s="306">
        <v>146779.86800000002</v>
      </c>
      <c r="AH56" s="304"/>
      <c r="AI56" s="304" t="s">
        <v>34</v>
      </c>
      <c r="AJ56" s="308">
        <v>17221.0</v>
      </c>
      <c r="AK56" s="308">
        <v>2099.0</v>
      </c>
      <c r="AL56" s="308">
        <v>5100.0</v>
      </c>
      <c r="AM56" s="308">
        <v>707.0</v>
      </c>
      <c r="AN56" s="308">
        <v>9450.0</v>
      </c>
      <c r="AO56" s="308">
        <v>12828.0</v>
      </c>
      <c r="AP56" s="308">
        <v>5000.0</v>
      </c>
      <c r="AQ56" s="308">
        <v>19823.0</v>
      </c>
      <c r="AR56" s="308">
        <v>4316.0</v>
      </c>
      <c r="AS56" s="308">
        <v>1271.0</v>
      </c>
      <c r="AT56" s="308">
        <v>7988.6</v>
      </c>
      <c r="AU56" s="308">
        <v>8732.508</v>
      </c>
      <c r="AV56" s="308">
        <v>38628.0</v>
      </c>
      <c r="AW56" s="39">
        <v>133164.108</v>
      </c>
      <c r="AX56" s="304"/>
      <c r="AY56" s="304" t="s">
        <v>34</v>
      </c>
      <c r="AZ56" s="308">
        <v>7784.0</v>
      </c>
      <c r="BA56" s="308">
        <v>2599.0</v>
      </c>
      <c r="BB56" s="308">
        <v>6650.0</v>
      </c>
      <c r="BC56" s="308">
        <v>400.0</v>
      </c>
      <c r="BD56" s="308">
        <v>14760.0</v>
      </c>
      <c r="BE56" s="308">
        <v>11867.0</v>
      </c>
      <c r="BF56" s="308">
        <v>6095.0</v>
      </c>
      <c r="BG56" s="308">
        <v>33287.0</v>
      </c>
      <c r="BH56" s="308">
        <v>2760.0</v>
      </c>
      <c r="BI56" s="308">
        <v>2850.0</v>
      </c>
      <c r="BJ56" s="308">
        <v>5793.0</v>
      </c>
      <c r="BK56" s="308">
        <v>7672.0</v>
      </c>
      <c r="BL56" s="308">
        <v>19199.0</v>
      </c>
      <c r="BM56" s="39">
        <v>121716.0</v>
      </c>
      <c r="BO56" s="304" t="s">
        <v>34</v>
      </c>
      <c r="BP56" s="370">
        <v>12038.0</v>
      </c>
      <c r="BQ56" s="370">
        <v>2200.0</v>
      </c>
      <c r="BR56" s="370">
        <v>4850.0</v>
      </c>
      <c r="BS56" s="370">
        <v>1000.0</v>
      </c>
      <c r="BT56" s="370">
        <v>3897.0</v>
      </c>
      <c r="BU56" s="370">
        <v>0.0</v>
      </c>
      <c r="BV56" s="370">
        <v>8975.0</v>
      </c>
      <c r="BW56" s="370">
        <v>15186.0</v>
      </c>
      <c r="BX56" s="370">
        <v>11354.0</v>
      </c>
      <c r="BY56" s="370">
        <v>1560.0</v>
      </c>
      <c r="BZ56" s="370">
        <v>7193.0</v>
      </c>
      <c r="CA56" s="370">
        <v>6448.0</v>
      </c>
      <c r="CB56" s="370">
        <v>13630.0</v>
      </c>
      <c r="CC56" s="371">
        <v>88331.0</v>
      </c>
      <c r="CD56" s="30"/>
      <c r="CE56" s="30"/>
      <c r="CF56" s="330" t="s">
        <v>100</v>
      </c>
      <c r="CG56" s="330"/>
      <c r="CH56" s="304">
        <v>52038.0</v>
      </c>
      <c r="CI56" s="304">
        <v>1599.0</v>
      </c>
      <c r="CJ56" s="304">
        <v>3444.3</v>
      </c>
      <c r="CK56" s="330">
        <v>285.0</v>
      </c>
      <c r="CL56" s="330">
        <v>0.0</v>
      </c>
      <c r="CM56" s="330">
        <v>0.0</v>
      </c>
      <c r="CN56" s="304">
        <v>19657.72</v>
      </c>
      <c r="CO56" s="304">
        <v>5560.0</v>
      </c>
      <c r="CP56" s="304">
        <v>16258.0</v>
      </c>
      <c r="CQ56" s="304">
        <v>2176.0</v>
      </c>
      <c r="CR56" s="304">
        <v>1019.0</v>
      </c>
      <c r="CS56" s="304">
        <v>6353.64</v>
      </c>
      <c r="CT56" s="304">
        <v>8452.15</v>
      </c>
      <c r="CU56" s="304">
        <v>3905.0</v>
      </c>
      <c r="CV56" s="372">
        <v>120462.8</v>
      </c>
      <c r="CW56" s="330" t="s">
        <v>101</v>
      </c>
    </row>
    <row r="57">
      <c r="A57" s="304"/>
      <c r="B57" s="314"/>
      <c r="C57" s="306"/>
      <c r="D57" s="306"/>
      <c r="E57" s="306"/>
      <c r="F57" s="306"/>
      <c r="G57" s="314"/>
      <c r="H57" s="306"/>
      <c r="I57" s="314"/>
      <c r="J57" s="306"/>
      <c r="K57" s="314"/>
      <c r="L57" s="306"/>
      <c r="M57" s="306"/>
      <c r="N57" s="314"/>
      <c r="O57" s="305"/>
      <c r="P57" s="314"/>
      <c r="Q57" s="304"/>
      <c r="R57" s="304"/>
      <c r="S57" s="314">
        <v>-15485.0</v>
      </c>
      <c r="T57" s="306">
        <v>683.0</v>
      </c>
      <c r="U57" s="306">
        <v>1032.6399999999999</v>
      </c>
      <c r="V57" s="306">
        <v>800.0</v>
      </c>
      <c r="W57" s="306">
        <v>3000.0</v>
      </c>
      <c r="X57" s="314">
        <v>-6426.0</v>
      </c>
      <c r="Y57" s="306">
        <v>-5531.0</v>
      </c>
      <c r="Z57" s="314">
        <v>-5494.0</v>
      </c>
      <c r="AA57" s="306">
        <v>-2070.0</v>
      </c>
      <c r="AB57" s="314">
        <v>-8635.0</v>
      </c>
      <c r="AC57" s="306">
        <v>1523.73</v>
      </c>
      <c r="AD57" s="306">
        <v>3662.7619999999997</v>
      </c>
      <c r="AE57" s="314">
        <v>-15900.0</v>
      </c>
      <c r="AF57" s="305">
        <v>859.0</v>
      </c>
      <c r="AG57" s="314">
        <v>-47979.867999999995</v>
      </c>
      <c r="AH57" s="304"/>
      <c r="AI57" s="304" t="s">
        <v>119</v>
      </c>
      <c r="AJ57" s="316">
        <v>-14221.0</v>
      </c>
      <c r="AK57" s="316">
        <v>101.0</v>
      </c>
      <c r="AL57" s="316">
        <v>400.0</v>
      </c>
      <c r="AM57" s="39">
        <v>293.0</v>
      </c>
      <c r="AN57" s="316">
        <v>-6450.0</v>
      </c>
      <c r="AO57" s="39">
        <v>-7828.0</v>
      </c>
      <c r="AP57" s="316">
        <v>1000.0</v>
      </c>
      <c r="AQ57" s="316">
        <v>5177.0</v>
      </c>
      <c r="AR57" s="39">
        <v>-1316.0</v>
      </c>
      <c r="AS57" s="39">
        <v>1729.0</v>
      </c>
      <c r="AT57" s="316">
        <v>-2988.6000000000004</v>
      </c>
      <c r="AU57" s="316">
        <v>-1932.5079999999998</v>
      </c>
      <c r="AV57" s="316">
        <v>-35628.0</v>
      </c>
      <c r="AW57" s="316">
        <v>-61664.108</v>
      </c>
      <c r="AX57" s="304"/>
      <c r="AY57" s="304" t="s">
        <v>119</v>
      </c>
      <c r="AZ57" s="316">
        <v>-4784.0</v>
      </c>
      <c r="BA57" s="316">
        <v>-399.0</v>
      </c>
      <c r="BB57" s="316">
        <v>-2650.0</v>
      </c>
      <c r="BC57" s="39">
        <v>600.0</v>
      </c>
      <c r="BD57" s="316">
        <v>-11760.0</v>
      </c>
      <c r="BE57" s="39">
        <v>0.2000000000007276</v>
      </c>
      <c r="BF57" s="316">
        <v>-95.0</v>
      </c>
      <c r="BG57" s="316">
        <v>-16287.0</v>
      </c>
      <c r="BH57" s="39">
        <v>240.0</v>
      </c>
      <c r="BI57" s="39">
        <v>4150.0</v>
      </c>
      <c r="BJ57" s="316">
        <v>-793.0</v>
      </c>
      <c r="BK57" s="316">
        <v>-1072.0</v>
      </c>
      <c r="BL57" s="316">
        <v>-16199.0</v>
      </c>
      <c r="BM57" s="316">
        <v>-49048.8</v>
      </c>
      <c r="BO57" s="304" t="s">
        <v>119</v>
      </c>
      <c r="BP57" s="373">
        <v>-9038.0</v>
      </c>
      <c r="BQ57" s="371">
        <v>0.0</v>
      </c>
      <c r="BR57" s="373">
        <v>-850.0</v>
      </c>
      <c r="BS57" s="371">
        <v>0.0</v>
      </c>
      <c r="BT57" s="373">
        <v>-897.0</v>
      </c>
      <c r="BU57" s="371">
        <v>9000.0</v>
      </c>
      <c r="BV57" s="373">
        <v>-4975.0</v>
      </c>
      <c r="BW57" s="373">
        <v>-3186.0</v>
      </c>
      <c r="BX57" s="371">
        <v>-10354.0</v>
      </c>
      <c r="BY57" s="373">
        <v>-60.0</v>
      </c>
      <c r="BZ57" s="373">
        <v>-2193.0</v>
      </c>
      <c r="CA57" s="371">
        <v>-948.0</v>
      </c>
      <c r="CB57" s="371">
        <v>-10630.0</v>
      </c>
      <c r="CC57" s="332">
        <v>-34131.0</v>
      </c>
      <c r="CD57" s="30"/>
      <c r="CE57" s="30"/>
      <c r="CF57" s="330" t="s">
        <v>102</v>
      </c>
      <c r="CG57" s="330"/>
      <c r="CH57" s="374">
        <v>-42038.0</v>
      </c>
      <c r="CI57" s="304">
        <v>401.0</v>
      </c>
      <c r="CJ57" s="304">
        <v>55.7</v>
      </c>
      <c r="CK57" s="330">
        <v>215.0</v>
      </c>
      <c r="CL57" s="330">
        <v>500.0</v>
      </c>
      <c r="CM57" s="330">
        <v>10000.0</v>
      </c>
      <c r="CN57" s="304">
        <v>42.28</v>
      </c>
      <c r="CO57" s="374">
        <v>-560.0</v>
      </c>
      <c r="CP57" s="374">
        <v>-6258.0</v>
      </c>
      <c r="CQ57" s="374">
        <v>-176.0</v>
      </c>
      <c r="CR57" s="304">
        <v>481.0</v>
      </c>
      <c r="CS57" s="304">
        <v>46.36</v>
      </c>
      <c r="CT57" s="304">
        <v>47.85</v>
      </c>
      <c r="CU57" s="304">
        <v>1095.0</v>
      </c>
      <c r="CV57" s="374">
        <v>-45862.8</v>
      </c>
      <c r="CW57" s="3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0"/>
      <c r="AY58" s="30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>
        <v>72667.2</v>
      </c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259"/>
      <c r="CG58" s="259"/>
      <c r="CH58" s="259"/>
      <c r="CI58" s="259"/>
      <c r="CJ58" s="259"/>
      <c r="CK58" s="259"/>
      <c r="CL58" s="259"/>
      <c r="CM58" s="259"/>
      <c r="CN58" s="259"/>
      <c r="CO58" s="259"/>
      <c r="CP58" s="259"/>
      <c r="CQ58" s="260"/>
      <c r="CR58" s="259"/>
      <c r="CS58" s="259"/>
      <c r="CT58" s="259"/>
      <c r="CU58" s="259"/>
      <c r="CV58" s="256">
        <v>74600.0</v>
      </c>
      <c r="CW58" s="259"/>
    </row>
    <row r="59">
      <c r="A59" s="264"/>
      <c r="B59" s="4" t="s">
        <v>2</v>
      </c>
      <c r="C59" s="5" t="s">
        <v>3</v>
      </c>
      <c r="D59" s="6" t="s">
        <v>4</v>
      </c>
      <c r="E59" s="7" t="s">
        <v>5</v>
      </c>
      <c r="F59" s="8" t="s">
        <v>120</v>
      </c>
      <c r="G59" s="9" t="s">
        <v>7</v>
      </c>
      <c r="H59" s="10" t="s">
        <v>8</v>
      </c>
      <c r="I59" s="9" t="s">
        <v>9</v>
      </c>
      <c r="J59" s="11" t="s">
        <v>10</v>
      </c>
      <c r="K59" s="12" t="s">
        <v>11</v>
      </c>
      <c r="L59" s="12" t="s">
        <v>12</v>
      </c>
      <c r="M59" s="13" t="s">
        <v>13</v>
      </c>
      <c r="N59" s="5" t="s">
        <v>14</v>
      </c>
      <c r="O59" s="14" t="s">
        <v>15</v>
      </c>
      <c r="P59" s="276" t="s">
        <v>16</v>
      </c>
      <c r="Q59" s="277"/>
      <c r="R59" s="264">
        <v>45839.0</v>
      </c>
      <c r="S59" s="4" t="s">
        <v>2</v>
      </c>
      <c r="T59" s="5" t="s">
        <v>3</v>
      </c>
      <c r="U59" s="6" t="s">
        <v>4</v>
      </c>
      <c r="V59" s="7" t="s">
        <v>5</v>
      </c>
      <c r="W59" s="8" t="s">
        <v>120</v>
      </c>
      <c r="X59" s="9" t="s">
        <v>7</v>
      </c>
      <c r="Y59" s="10" t="s">
        <v>8</v>
      </c>
      <c r="Z59" s="9" t="s">
        <v>9</v>
      </c>
      <c r="AA59" s="11" t="s">
        <v>10</v>
      </c>
      <c r="AB59" s="12" t="s">
        <v>11</v>
      </c>
      <c r="AC59" s="12" t="s">
        <v>12</v>
      </c>
      <c r="AD59" s="13" t="s">
        <v>13</v>
      </c>
      <c r="AE59" s="5" t="s">
        <v>14</v>
      </c>
      <c r="AF59" s="14" t="s">
        <v>15</v>
      </c>
      <c r="AG59" s="276" t="s">
        <v>16</v>
      </c>
      <c r="AH59" s="277"/>
      <c r="AI59" s="264">
        <v>45474.0</v>
      </c>
      <c r="AJ59" s="5" t="s">
        <v>2</v>
      </c>
      <c r="AK59" s="5" t="s">
        <v>3</v>
      </c>
      <c r="AL59" s="6" t="s">
        <v>4</v>
      </c>
      <c r="AM59" s="7" t="s">
        <v>5</v>
      </c>
      <c r="AN59" s="280" t="s">
        <v>103</v>
      </c>
      <c r="AO59" s="9" t="s">
        <v>7</v>
      </c>
      <c r="AP59" s="10" t="s">
        <v>105</v>
      </c>
      <c r="AQ59" s="9" t="s">
        <v>9</v>
      </c>
      <c r="AR59" s="11" t="s">
        <v>106</v>
      </c>
      <c r="AS59" s="12" t="s">
        <v>107</v>
      </c>
      <c r="AT59" s="12" t="s">
        <v>12</v>
      </c>
      <c r="AU59" s="13" t="s">
        <v>13</v>
      </c>
      <c r="AV59" s="5" t="s">
        <v>14</v>
      </c>
      <c r="AW59" s="15" t="s">
        <v>108</v>
      </c>
      <c r="AX59" s="277"/>
      <c r="AY59" s="264">
        <v>45108.0</v>
      </c>
      <c r="AZ59" s="292" t="s">
        <v>2</v>
      </c>
      <c r="BA59" s="292" t="s">
        <v>3</v>
      </c>
      <c r="BB59" s="293" t="s">
        <v>4</v>
      </c>
      <c r="BC59" s="294" t="s">
        <v>5</v>
      </c>
      <c r="BD59" s="295" t="s">
        <v>103</v>
      </c>
      <c r="BE59" s="296" t="s">
        <v>110</v>
      </c>
      <c r="BF59" s="297" t="s">
        <v>115</v>
      </c>
      <c r="BG59" s="296" t="s">
        <v>9</v>
      </c>
      <c r="BH59" s="298" t="s">
        <v>97</v>
      </c>
      <c r="BI59" s="299" t="s">
        <v>98</v>
      </c>
      <c r="BJ59" s="299" t="s">
        <v>12</v>
      </c>
      <c r="BK59" s="300" t="s">
        <v>13</v>
      </c>
      <c r="BL59" s="292" t="s">
        <v>14</v>
      </c>
      <c r="BM59" s="290" t="s">
        <v>112</v>
      </c>
      <c r="BO59" s="298"/>
      <c r="BP59" s="292" t="s">
        <v>2</v>
      </c>
      <c r="BQ59" s="292" t="s">
        <v>3</v>
      </c>
      <c r="BR59" s="293" t="s">
        <v>4</v>
      </c>
      <c r="BS59" s="294" t="s">
        <v>5</v>
      </c>
      <c r="BT59" s="295" t="s">
        <v>103</v>
      </c>
      <c r="BU59" s="296" t="s">
        <v>110</v>
      </c>
      <c r="BV59" s="297" t="s">
        <v>115</v>
      </c>
      <c r="BW59" s="296" t="s">
        <v>9</v>
      </c>
      <c r="BX59" s="298" t="s">
        <v>97</v>
      </c>
      <c r="BY59" s="299" t="s">
        <v>98</v>
      </c>
      <c r="BZ59" s="299" t="s">
        <v>12</v>
      </c>
      <c r="CA59" s="300" t="s">
        <v>13</v>
      </c>
      <c r="CB59" s="292" t="s">
        <v>14</v>
      </c>
      <c r="CC59" s="324" t="s">
        <v>108</v>
      </c>
      <c r="CD59" s="30"/>
      <c r="CE59" s="30"/>
      <c r="CF59" s="345">
        <v>44378.0</v>
      </c>
      <c r="CG59" s="357"/>
      <c r="CH59" s="303" t="s">
        <v>2</v>
      </c>
      <c r="CI59" s="357" t="s">
        <v>3</v>
      </c>
      <c r="CJ59" s="357" t="s">
        <v>4</v>
      </c>
      <c r="CK59" s="357" t="s">
        <v>92</v>
      </c>
      <c r="CL59" s="357" t="s">
        <v>93</v>
      </c>
      <c r="CM59" s="357" t="s">
        <v>94</v>
      </c>
      <c r="CN59" s="357" t="s">
        <v>95</v>
      </c>
      <c r="CO59" s="357" t="s">
        <v>96</v>
      </c>
      <c r="CP59" s="357" t="s">
        <v>9</v>
      </c>
      <c r="CQ59" s="358" t="s">
        <v>97</v>
      </c>
      <c r="CR59" s="359" t="s">
        <v>98</v>
      </c>
      <c r="CS59" s="357" t="s">
        <v>99</v>
      </c>
      <c r="CT59" s="357" t="s">
        <v>13</v>
      </c>
      <c r="CU59" s="357" t="s">
        <v>14</v>
      </c>
      <c r="CV59" s="259"/>
      <c r="CW59" s="259"/>
    </row>
    <row r="60">
      <c r="A60" s="304"/>
      <c r="B60" s="305"/>
      <c r="C60" s="305"/>
      <c r="D60" s="305"/>
      <c r="E60" s="305"/>
      <c r="F60" s="305"/>
      <c r="G60" s="305"/>
      <c r="H60" s="305"/>
      <c r="I60" s="305"/>
      <c r="J60" s="305"/>
      <c r="K60" s="305"/>
      <c r="L60" s="305"/>
      <c r="M60" s="305"/>
      <c r="N60" s="305"/>
      <c r="O60" s="305"/>
      <c r="P60" s="306"/>
      <c r="Q60" s="304"/>
      <c r="R60" s="304"/>
      <c r="S60" s="305">
        <v>27700.0</v>
      </c>
      <c r="T60" s="305">
        <v>1805.0</v>
      </c>
      <c r="U60" s="305">
        <v>3364.0</v>
      </c>
      <c r="V60" s="305">
        <v>0.0</v>
      </c>
      <c r="W60" s="305">
        <v>0.0</v>
      </c>
      <c r="X60" s="305">
        <v>8875.0</v>
      </c>
      <c r="Y60" s="305">
        <v>6621.0</v>
      </c>
      <c r="Z60" s="305">
        <v>25803.0</v>
      </c>
      <c r="AA60" s="305">
        <v>8273.0</v>
      </c>
      <c r="AB60" s="305">
        <v>5870.0</v>
      </c>
      <c r="AC60" s="305">
        <v>6239.87</v>
      </c>
      <c r="AD60" s="305">
        <v>7704.55</v>
      </c>
      <c r="AE60" s="305">
        <v>19648.0</v>
      </c>
      <c r="AF60" s="305">
        <v>3141.0</v>
      </c>
      <c r="AG60" s="306">
        <v>125044.42</v>
      </c>
      <c r="AH60" s="304"/>
      <c r="AI60" s="304" t="s">
        <v>34</v>
      </c>
      <c r="AJ60" s="20">
        <v>9169.0</v>
      </c>
      <c r="AK60" s="20">
        <v>2260.0</v>
      </c>
      <c r="AL60" s="20">
        <v>4300.0</v>
      </c>
      <c r="AM60" s="20">
        <v>650.0</v>
      </c>
      <c r="AN60" s="20">
        <v>1480.0</v>
      </c>
      <c r="AO60" s="20">
        <v>4806.0</v>
      </c>
      <c r="AP60" s="20">
        <v>5605.0</v>
      </c>
      <c r="AQ60" s="20">
        <v>24312.0</v>
      </c>
      <c r="AR60" s="20">
        <v>2949.0</v>
      </c>
      <c r="AS60" s="20">
        <v>4980.0</v>
      </c>
      <c r="AT60" s="20">
        <v>5470.0</v>
      </c>
      <c r="AU60" s="20">
        <v>9230.0</v>
      </c>
      <c r="AV60" s="20">
        <v>33072.0</v>
      </c>
      <c r="AW60" s="360">
        <v>108283.0</v>
      </c>
      <c r="AX60" s="304"/>
      <c r="AY60" s="304" t="s">
        <v>34</v>
      </c>
      <c r="AZ60" s="20">
        <v>20259.0</v>
      </c>
      <c r="BA60" s="20">
        <v>2599.0</v>
      </c>
      <c r="BB60" s="20">
        <v>4502.0</v>
      </c>
      <c r="BC60" s="20">
        <v>680.0</v>
      </c>
      <c r="BD60" s="20">
        <v>1350.0</v>
      </c>
      <c r="BE60" s="20">
        <v>3300.0</v>
      </c>
      <c r="BF60" s="20">
        <v>6983.0</v>
      </c>
      <c r="BG60" s="20">
        <v>30190.0</v>
      </c>
      <c r="BH60" s="20">
        <v>16288.0</v>
      </c>
      <c r="BI60" s="20">
        <v>9634.0</v>
      </c>
      <c r="BJ60" s="20">
        <v>2593.0</v>
      </c>
      <c r="BK60" s="20">
        <v>6041.0</v>
      </c>
      <c r="BL60" s="20">
        <v>11459.0</v>
      </c>
      <c r="BM60" s="360">
        <v>115878.0</v>
      </c>
      <c r="BO60" s="304" t="s">
        <v>34</v>
      </c>
      <c r="BP60" s="35">
        <v>34306.0</v>
      </c>
      <c r="BQ60" s="35">
        <v>2398.0</v>
      </c>
      <c r="BR60" s="35">
        <v>3468.0</v>
      </c>
      <c r="BS60" s="35">
        <v>1000.0</v>
      </c>
      <c r="BT60" s="35">
        <v>140.0</v>
      </c>
      <c r="BU60" s="35">
        <v>8580.2</v>
      </c>
      <c r="BV60" s="35">
        <v>8450.0</v>
      </c>
      <c r="BW60" s="35">
        <v>21173.0</v>
      </c>
      <c r="BX60" s="35">
        <v>2327.0</v>
      </c>
      <c r="BY60" s="35">
        <v>1450.0</v>
      </c>
      <c r="BZ60" s="35">
        <v>4912.719999999999</v>
      </c>
      <c r="CA60" s="35">
        <v>5768.21</v>
      </c>
      <c r="CB60" s="35">
        <v>5108.0</v>
      </c>
      <c r="CC60" s="361">
        <v>99081.13</v>
      </c>
      <c r="CD60" s="30"/>
      <c r="CE60" s="30"/>
      <c r="CF60" s="330" t="s">
        <v>100</v>
      </c>
      <c r="CG60" s="330"/>
      <c r="CH60" s="304">
        <v>9999.0</v>
      </c>
      <c r="CI60" s="304">
        <v>2250.0</v>
      </c>
      <c r="CJ60" s="330">
        <v>3235.11</v>
      </c>
      <c r="CK60" s="330">
        <v>350.0</v>
      </c>
      <c r="CL60" s="330">
        <v>0.0</v>
      </c>
      <c r="CM60" s="330">
        <v>2000.0</v>
      </c>
      <c r="CN60" s="304">
        <v>0.0</v>
      </c>
      <c r="CO60" s="330">
        <v>3590.0</v>
      </c>
      <c r="CP60" s="330">
        <v>17840.0</v>
      </c>
      <c r="CQ60" s="330">
        <v>4610.0</v>
      </c>
      <c r="CR60" s="304">
        <v>1110.0</v>
      </c>
      <c r="CS60" s="330">
        <v>3749.224</v>
      </c>
      <c r="CT60" s="330">
        <v>4141.515</v>
      </c>
      <c r="CU60" s="304">
        <v>15577.0</v>
      </c>
      <c r="CV60" s="317">
        <f t="shared" ref="CV60:CV61" si="11">SUM(CH60:CU60)</f>
        <v>68451.849</v>
      </c>
      <c r="CW60" s="259"/>
    </row>
    <row r="61">
      <c r="A61" s="304"/>
      <c r="B61" s="314"/>
      <c r="C61" s="306"/>
      <c r="D61" s="306"/>
      <c r="E61" s="306"/>
      <c r="F61" s="306"/>
      <c r="G61" s="314"/>
      <c r="H61" s="306"/>
      <c r="I61" s="314"/>
      <c r="J61" s="314"/>
      <c r="K61" s="314"/>
      <c r="L61" s="314"/>
      <c r="M61" s="306"/>
      <c r="N61" s="314"/>
      <c r="O61" s="305"/>
      <c r="P61" s="314"/>
      <c r="Q61" s="304"/>
      <c r="R61" s="304"/>
      <c r="S61" s="314">
        <v>-2700.0</v>
      </c>
      <c r="T61" s="306">
        <v>695.0</v>
      </c>
      <c r="U61" s="306">
        <v>1636.0</v>
      </c>
      <c r="V61" s="306">
        <v>800.0</v>
      </c>
      <c r="W61" s="306">
        <v>4500.0</v>
      </c>
      <c r="X61" s="314">
        <v>-3875.0</v>
      </c>
      <c r="Y61" s="306">
        <v>379.0</v>
      </c>
      <c r="Z61" s="314">
        <v>-10803.0</v>
      </c>
      <c r="AA61" s="314">
        <v>-1273.0</v>
      </c>
      <c r="AB61" s="314">
        <v>-1870.0</v>
      </c>
      <c r="AC61" s="314">
        <v>-1239.87</v>
      </c>
      <c r="AD61" s="306">
        <v>295.4499999999998</v>
      </c>
      <c r="AE61" s="314">
        <v>-13648.0</v>
      </c>
      <c r="AF61" s="305">
        <v>859.0</v>
      </c>
      <c r="AG61" s="314">
        <v>-26244.42</v>
      </c>
      <c r="AH61" s="304"/>
      <c r="AI61" s="304" t="s">
        <v>119</v>
      </c>
      <c r="AJ61" s="375">
        <v>-6169.0</v>
      </c>
      <c r="AK61" s="316">
        <v>-60.0</v>
      </c>
      <c r="AL61" s="362">
        <v>1200.0</v>
      </c>
      <c r="AM61" s="362">
        <v>350.0</v>
      </c>
      <c r="AN61" s="362">
        <v>1520.0</v>
      </c>
      <c r="AO61" s="362">
        <v>194.0</v>
      </c>
      <c r="AP61" s="362">
        <v>395.0</v>
      </c>
      <c r="AQ61" s="362">
        <v>688.0</v>
      </c>
      <c r="AR61" s="39">
        <v>51.0</v>
      </c>
      <c r="AS61" s="316">
        <v>-1980.0</v>
      </c>
      <c r="AT61" s="316">
        <v>-470.0</v>
      </c>
      <c r="AU61" s="316">
        <v>-2430.0</v>
      </c>
      <c r="AV61" s="316">
        <v>-30072.0</v>
      </c>
      <c r="AW61" s="316">
        <v>-36783.0</v>
      </c>
      <c r="AX61" s="304"/>
      <c r="AY61" s="304" t="s">
        <v>119</v>
      </c>
      <c r="AZ61" s="375">
        <v>-17259.0</v>
      </c>
      <c r="BA61" s="316">
        <v>-399.0</v>
      </c>
      <c r="BB61" s="362">
        <v>-502.0</v>
      </c>
      <c r="BC61" s="362">
        <v>320.0</v>
      </c>
      <c r="BD61" s="362">
        <v>1650.0</v>
      </c>
      <c r="BE61" s="362">
        <v>0.0</v>
      </c>
      <c r="BF61" s="316">
        <v>-983.0</v>
      </c>
      <c r="BG61" s="375">
        <v>-13190.0</v>
      </c>
      <c r="BH61" s="316">
        <v>-13288.0</v>
      </c>
      <c r="BI61" s="362">
        <v>-2634.0</v>
      </c>
      <c r="BJ61" s="362">
        <v>2407.0</v>
      </c>
      <c r="BK61" s="316">
        <v>559.0</v>
      </c>
      <c r="BL61" s="316">
        <v>-8459.0</v>
      </c>
      <c r="BM61" s="316">
        <v>-51778.0</v>
      </c>
      <c r="BO61" s="304" t="s">
        <v>119</v>
      </c>
      <c r="BP61" s="376">
        <v>-31306.0</v>
      </c>
      <c r="BQ61" s="377">
        <v>-198.0</v>
      </c>
      <c r="BR61" s="363">
        <v>532.0</v>
      </c>
      <c r="BS61" s="363">
        <v>0.0</v>
      </c>
      <c r="BT61" s="363">
        <v>2860.0</v>
      </c>
      <c r="BU61" s="363">
        <v>0.0</v>
      </c>
      <c r="BV61" s="377">
        <v>-4450.0</v>
      </c>
      <c r="BW61" s="376">
        <v>-9173.0</v>
      </c>
      <c r="BX61" s="377">
        <v>-1327.0</v>
      </c>
      <c r="BY61" s="363">
        <v>50.0</v>
      </c>
      <c r="BZ61" s="363">
        <v>87.28000000000065</v>
      </c>
      <c r="CA61" s="377">
        <v>-268.21000000000004</v>
      </c>
      <c r="CB61" s="377">
        <v>-2108.0</v>
      </c>
      <c r="CC61" s="377">
        <v>-45300.93</v>
      </c>
      <c r="CD61" s="30"/>
      <c r="CE61" s="30"/>
      <c r="CF61" s="330" t="s">
        <v>102</v>
      </c>
      <c r="CG61" s="330"/>
      <c r="CH61" s="330">
        <v>1.0</v>
      </c>
      <c r="CI61" s="333">
        <v>-250.0</v>
      </c>
      <c r="CJ61" s="330">
        <v>264.8899999999999</v>
      </c>
      <c r="CK61" s="330">
        <v>150.0</v>
      </c>
      <c r="CL61" s="330">
        <v>500.0</v>
      </c>
      <c r="CM61" s="333">
        <v>-2000.0</v>
      </c>
      <c r="CN61" s="330">
        <v>0.0</v>
      </c>
      <c r="CO61" s="330">
        <v>1410.0</v>
      </c>
      <c r="CP61" s="333">
        <v>-7840.0</v>
      </c>
      <c r="CQ61" s="333">
        <v>-2610.0</v>
      </c>
      <c r="CR61" s="330">
        <v>390.0</v>
      </c>
      <c r="CS61" s="330">
        <v>1250.7759999999998</v>
      </c>
      <c r="CT61" s="330">
        <v>1858.4849999999997</v>
      </c>
      <c r="CU61" s="374">
        <v>-10577.0</v>
      </c>
      <c r="CV61" s="333">
        <f t="shared" si="11"/>
        <v>-17451.849</v>
      </c>
      <c r="CW61" s="259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68"/>
      <c r="AK62" s="368"/>
      <c r="AL62" s="368"/>
      <c r="AM62" s="368"/>
      <c r="AN62" s="368"/>
      <c r="AO62" s="368"/>
      <c r="AP62" s="368"/>
      <c r="AQ62" s="368"/>
      <c r="AR62" s="368"/>
      <c r="AS62" s="368"/>
      <c r="AT62" s="368"/>
      <c r="AU62" s="368"/>
      <c r="AV62" s="368"/>
      <c r="AW62" s="30"/>
      <c r="AX62" s="30"/>
      <c r="AY62" s="30"/>
      <c r="AZ62" s="368"/>
      <c r="BA62" s="368"/>
      <c r="BB62" s="368"/>
      <c r="BC62" s="368"/>
      <c r="BD62" s="368"/>
      <c r="BE62" s="368"/>
      <c r="BF62" s="368"/>
      <c r="BG62" s="368"/>
      <c r="BH62" s="368"/>
      <c r="BI62" s="368"/>
      <c r="BJ62" s="368"/>
      <c r="BK62" s="368"/>
      <c r="BL62" s="368"/>
      <c r="BM62" s="30"/>
      <c r="BO62" s="30"/>
      <c r="BP62" s="368"/>
      <c r="BQ62" s="368"/>
      <c r="BR62" s="368"/>
      <c r="BS62" s="368"/>
      <c r="BT62" s="368"/>
      <c r="BU62" s="368"/>
      <c r="BV62" s="368"/>
      <c r="BW62" s="368"/>
      <c r="BX62" s="368"/>
      <c r="BY62" s="368"/>
      <c r="BZ62" s="368"/>
      <c r="CA62" s="368"/>
      <c r="CB62" s="368"/>
      <c r="CC62" s="30"/>
      <c r="CD62" s="30"/>
      <c r="CE62" s="30"/>
      <c r="CF62" s="259"/>
      <c r="CG62" s="259"/>
      <c r="CH62" s="259"/>
      <c r="CI62" s="259"/>
      <c r="CJ62" s="259"/>
      <c r="CK62" s="259"/>
      <c r="CL62" s="259"/>
      <c r="CM62" s="259"/>
      <c r="CN62" s="259"/>
      <c r="CO62" s="259"/>
      <c r="CP62" s="259"/>
      <c r="CQ62" s="260"/>
      <c r="CR62" s="259"/>
      <c r="CS62" s="259"/>
      <c r="CT62" s="259"/>
      <c r="CU62" s="259"/>
      <c r="CV62" s="368">
        <f>SUM(CV60:CV61)</f>
        <v>51000</v>
      </c>
      <c r="CW62" s="259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259"/>
      <c r="CG63" s="259"/>
      <c r="CH63" s="259"/>
      <c r="CI63" s="259"/>
      <c r="CJ63" s="259"/>
      <c r="CK63" s="259"/>
      <c r="CL63" s="259"/>
      <c r="CM63" s="259"/>
      <c r="CN63" s="259"/>
      <c r="CO63" s="259"/>
      <c r="CP63" s="259"/>
      <c r="CQ63" s="260"/>
      <c r="CR63" s="259"/>
      <c r="CS63" s="259"/>
      <c r="CT63" s="259"/>
      <c r="CU63" s="259"/>
      <c r="CV63" s="259"/>
      <c r="CW63" s="259"/>
    </row>
    <row r="64">
      <c r="A64" s="264"/>
      <c r="B64" s="4" t="s">
        <v>2</v>
      </c>
      <c r="C64" s="5" t="s">
        <v>3</v>
      </c>
      <c r="D64" s="6" t="s">
        <v>4</v>
      </c>
      <c r="E64" s="7" t="s">
        <v>5</v>
      </c>
      <c r="F64" s="8" t="s">
        <v>120</v>
      </c>
      <c r="G64" s="9" t="s">
        <v>7</v>
      </c>
      <c r="H64" s="10" t="s">
        <v>8</v>
      </c>
      <c r="I64" s="9" t="s">
        <v>9</v>
      </c>
      <c r="J64" s="11" t="s">
        <v>10</v>
      </c>
      <c r="K64" s="12" t="s">
        <v>11</v>
      </c>
      <c r="L64" s="12" t="s">
        <v>12</v>
      </c>
      <c r="M64" s="13" t="s">
        <v>13</v>
      </c>
      <c r="N64" s="5" t="s">
        <v>14</v>
      </c>
      <c r="O64" s="14" t="s">
        <v>15</v>
      </c>
      <c r="P64" s="276" t="s">
        <v>16</v>
      </c>
      <c r="Q64" s="277"/>
      <c r="R64" s="264">
        <v>45870.0</v>
      </c>
      <c r="S64" s="4" t="s">
        <v>2</v>
      </c>
      <c r="T64" s="5" t="s">
        <v>3</v>
      </c>
      <c r="U64" s="6" t="s">
        <v>4</v>
      </c>
      <c r="V64" s="7" t="s">
        <v>5</v>
      </c>
      <c r="W64" s="8" t="s">
        <v>120</v>
      </c>
      <c r="X64" s="9" t="s">
        <v>7</v>
      </c>
      <c r="Y64" s="10" t="s">
        <v>8</v>
      </c>
      <c r="Z64" s="9" t="s">
        <v>9</v>
      </c>
      <c r="AA64" s="11" t="s">
        <v>10</v>
      </c>
      <c r="AB64" s="12" t="s">
        <v>11</v>
      </c>
      <c r="AC64" s="12" t="s">
        <v>12</v>
      </c>
      <c r="AD64" s="13" t="s">
        <v>13</v>
      </c>
      <c r="AE64" s="5" t="s">
        <v>14</v>
      </c>
      <c r="AF64" s="14" t="s">
        <v>15</v>
      </c>
      <c r="AG64" s="276" t="s">
        <v>16</v>
      </c>
      <c r="AH64" s="277"/>
      <c r="AI64" s="264">
        <v>45505.0</v>
      </c>
      <c r="AJ64" s="5" t="s">
        <v>2</v>
      </c>
      <c r="AK64" s="5" t="s">
        <v>3</v>
      </c>
      <c r="AL64" s="6" t="s">
        <v>4</v>
      </c>
      <c r="AM64" s="7" t="s">
        <v>5</v>
      </c>
      <c r="AN64" s="280" t="s">
        <v>103</v>
      </c>
      <c r="AO64" s="9" t="s">
        <v>7</v>
      </c>
      <c r="AP64" s="10" t="s">
        <v>105</v>
      </c>
      <c r="AQ64" s="9" t="s">
        <v>9</v>
      </c>
      <c r="AR64" s="11" t="s">
        <v>106</v>
      </c>
      <c r="AS64" s="12" t="s">
        <v>107</v>
      </c>
      <c r="AT64" s="12" t="s">
        <v>12</v>
      </c>
      <c r="AU64" s="13" t="s">
        <v>13</v>
      </c>
      <c r="AV64" s="5" t="s">
        <v>14</v>
      </c>
      <c r="AW64" s="15" t="s">
        <v>108</v>
      </c>
      <c r="AX64" s="277"/>
      <c r="AY64" s="264">
        <v>45139.0</v>
      </c>
      <c r="AZ64" s="292" t="s">
        <v>2</v>
      </c>
      <c r="BA64" s="292" t="s">
        <v>3</v>
      </c>
      <c r="BB64" s="293" t="s">
        <v>4</v>
      </c>
      <c r="BC64" s="294" t="s">
        <v>5</v>
      </c>
      <c r="BD64" s="295" t="s">
        <v>103</v>
      </c>
      <c r="BE64" s="296" t="s">
        <v>110</v>
      </c>
      <c r="BF64" s="297" t="s">
        <v>115</v>
      </c>
      <c r="BG64" s="296" t="s">
        <v>9</v>
      </c>
      <c r="BH64" s="298" t="s">
        <v>97</v>
      </c>
      <c r="BI64" s="299" t="s">
        <v>98</v>
      </c>
      <c r="BJ64" s="299" t="s">
        <v>12</v>
      </c>
      <c r="BK64" s="300" t="s">
        <v>13</v>
      </c>
      <c r="BL64" s="292" t="s">
        <v>14</v>
      </c>
      <c r="BM64" s="290" t="s">
        <v>112</v>
      </c>
      <c r="BO64" s="298"/>
      <c r="BP64" s="292" t="s">
        <v>2</v>
      </c>
      <c r="BQ64" s="292" t="s">
        <v>3</v>
      </c>
      <c r="BR64" s="293" t="s">
        <v>4</v>
      </c>
      <c r="BS64" s="294" t="s">
        <v>5</v>
      </c>
      <c r="BT64" s="295" t="s">
        <v>103</v>
      </c>
      <c r="BU64" s="296" t="s">
        <v>110</v>
      </c>
      <c r="BV64" s="297" t="s">
        <v>115</v>
      </c>
      <c r="BW64" s="296" t="s">
        <v>9</v>
      </c>
      <c r="BX64" s="298" t="s">
        <v>97</v>
      </c>
      <c r="BY64" s="299" t="s">
        <v>98</v>
      </c>
      <c r="BZ64" s="299" t="s">
        <v>12</v>
      </c>
      <c r="CA64" s="300" t="s">
        <v>13</v>
      </c>
      <c r="CB64" s="292" t="s">
        <v>14</v>
      </c>
      <c r="CC64" s="324" t="s">
        <v>108</v>
      </c>
      <c r="CD64" s="30"/>
      <c r="CE64" s="30"/>
      <c r="CF64" s="325">
        <v>44409.0</v>
      </c>
      <c r="CG64" s="354"/>
      <c r="CH64" s="327" t="s">
        <v>2</v>
      </c>
      <c r="CI64" s="354" t="s">
        <v>3</v>
      </c>
      <c r="CJ64" s="354" t="s">
        <v>4</v>
      </c>
      <c r="CK64" s="354" t="s">
        <v>92</v>
      </c>
      <c r="CL64" s="354" t="s">
        <v>93</v>
      </c>
      <c r="CM64" s="354" t="s">
        <v>94</v>
      </c>
      <c r="CN64" s="354" t="s">
        <v>95</v>
      </c>
      <c r="CO64" s="354" t="s">
        <v>96</v>
      </c>
      <c r="CP64" s="354" t="s">
        <v>9</v>
      </c>
      <c r="CQ64" s="355" t="s">
        <v>97</v>
      </c>
      <c r="CR64" s="327" t="s">
        <v>98</v>
      </c>
      <c r="CS64" s="354" t="s">
        <v>99</v>
      </c>
      <c r="CT64" s="354" t="s">
        <v>13</v>
      </c>
      <c r="CU64" s="354" t="s">
        <v>14</v>
      </c>
      <c r="CV64" s="259"/>
      <c r="CW64" s="259"/>
    </row>
    <row r="65">
      <c r="A65" s="304"/>
      <c r="B65" s="305"/>
      <c r="C65" s="305"/>
      <c r="D65" s="305"/>
      <c r="E65" s="305"/>
      <c r="F65" s="305"/>
      <c r="G65" s="305"/>
      <c r="H65" s="305"/>
      <c r="I65" s="305"/>
      <c r="J65" s="305"/>
      <c r="K65" s="305"/>
      <c r="L65" s="305"/>
      <c r="M65" s="305"/>
      <c r="N65" s="305"/>
      <c r="O65" s="305"/>
      <c r="P65" s="306"/>
      <c r="Q65" s="304"/>
      <c r="R65" s="304"/>
      <c r="S65" s="305">
        <v>36455.0</v>
      </c>
      <c r="T65" s="305">
        <v>1706.0</v>
      </c>
      <c r="U65" s="305">
        <v>3974.98</v>
      </c>
      <c r="V65" s="305">
        <v>0.0</v>
      </c>
      <c r="W65" s="305">
        <v>3650.0</v>
      </c>
      <c r="X65" s="305">
        <v>9060.0</v>
      </c>
      <c r="Y65" s="305">
        <v>4906.0</v>
      </c>
      <c r="Z65" s="305">
        <v>19109.0</v>
      </c>
      <c r="AA65" s="305">
        <v>9795.0</v>
      </c>
      <c r="AB65" s="305">
        <v>1860.0</v>
      </c>
      <c r="AC65" s="305">
        <v>4554.57</v>
      </c>
      <c r="AD65" s="305">
        <v>5820.39</v>
      </c>
      <c r="AE65" s="305">
        <v>25436.0</v>
      </c>
      <c r="AF65" s="305">
        <v>3141.0</v>
      </c>
      <c r="AG65" s="306">
        <v>129467.94000000002</v>
      </c>
      <c r="AH65" s="304"/>
      <c r="AI65" s="304" t="s">
        <v>34</v>
      </c>
      <c r="AJ65" s="378">
        <v>3474.0</v>
      </c>
      <c r="AK65" s="378">
        <v>3116.0</v>
      </c>
      <c r="AL65" s="378">
        <v>4670.0</v>
      </c>
      <c r="AM65" s="378">
        <v>0.0</v>
      </c>
      <c r="AN65" s="378">
        <v>4300.0</v>
      </c>
      <c r="AO65" s="378">
        <v>4622.0</v>
      </c>
      <c r="AP65" s="378">
        <v>5769.0</v>
      </c>
      <c r="AQ65" s="378">
        <v>34617.0</v>
      </c>
      <c r="AR65" s="378">
        <v>3793.0</v>
      </c>
      <c r="AS65" s="378">
        <v>11675.0</v>
      </c>
      <c r="AT65" s="378">
        <v>4864.0</v>
      </c>
      <c r="AU65" s="378">
        <v>7309.0</v>
      </c>
      <c r="AV65" s="378">
        <v>26459.0</v>
      </c>
      <c r="AW65" s="379">
        <v>114668.0</v>
      </c>
      <c r="AX65" s="304"/>
      <c r="AY65" s="304" t="s">
        <v>34</v>
      </c>
      <c r="AZ65" s="378">
        <v>38220.0</v>
      </c>
      <c r="BA65" s="378">
        <v>2499.0</v>
      </c>
      <c r="BB65" s="378">
        <v>5859.93</v>
      </c>
      <c r="BC65" s="378">
        <v>400.0</v>
      </c>
      <c r="BD65" s="378">
        <v>485.0</v>
      </c>
      <c r="BE65" s="378">
        <v>3300.0</v>
      </c>
      <c r="BF65" s="378">
        <v>5940.0</v>
      </c>
      <c r="BG65" s="378">
        <v>24237.0</v>
      </c>
      <c r="BH65" s="378">
        <v>40160.0</v>
      </c>
      <c r="BI65" s="378">
        <v>13199.0</v>
      </c>
      <c r="BJ65" s="378">
        <v>7267.0</v>
      </c>
      <c r="BK65" s="378">
        <v>6083.0</v>
      </c>
      <c r="BL65" s="378">
        <v>16945.0</v>
      </c>
      <c r="BM65" s="379">
        <v>164594.93</v>
      </c>
      <c r="BO65" s="304" t="s">
        <v>34</v>
      </c>
      <c r="BP65" s="380">
        <v>50512.87</v>
      </c>
      <c r="BQ65" s="380">
        <v>0.0</v>
      </c>
      <c r="BR65" s="380">
        <v>4552.0</v>
      </c>
      <c r="BS65" s="380">
        <v>0.0</v>
      </c>
      <c r="BT65" s="380">
        <v>1249.0</v>
      </c>
      <c r="BU65" s="380">
        <v>8580.2</v>
      </c>
      <c r="BV65" s="380">
        <v>5943.0</v>
      </c>
      <c r="BW65" s="380">
        <v>22583.0</v>
      </c>
      <c r="BX65" s="380">
        <v>3739.0</v>
      </c>
      <c r="BY65" s="380">
        <v>529.0</v>
      </c>
      <c r="BZ65" s="380">
        <v>8517.2</v>
      </c>
      <c r="CA65" s="380">
        <v>6048.27</v>
      </c>
      <c r="CB65" s="380">
        <v>11930.0</v>
      </c>
      <c r="CC65" s="381">
        <v>124183.54000000001</v>
      </c>
      <c r="CD65" s="30"/>
      <c r="CE65" s="30"/>
      <c r="CF65" s="330" t="s">
        <v>100</v>
      </c>
      <c r="CG65" s="30"/>
      <c r="CH65" s="256">
        <v>28100.0</v>
      </c>
      <c r="CI65" s="256">
        <v>1100.0</v>
      </c>
      <c r="CJ65" s="256">
        <v>4252.0</v>
      </c>
      <c r="CK65" s="256">
        <v>285.0</v>
      </c>
      <c r="CL65" s="256">
        <v>0.0</v>
      </c>
      <c r="CM65" s="256">
        <v>0.0</v>
      </c>
      <c r="CN65" s="256">
        <v>0.0</v>
      </c>
      <c r="CO65" s="256">
        <v>2250.0</v>
      </c>
      <c r="CP65" s="256">
        <v>15596.0</v>
      </c>
      <c r="CQ65" s="256">
        <v>864.0</v>
      </c>
      <c r="CR65" s="257">
        <v>0.0</v>
      </c>
      <c r="CS65" s="256">
        <v>6530.700000000001</v>
      </c>
      <c r="CT65" s="256">
        <v>7433.393</v>
      </c>
      <c r="CU65" s="256">
        <v>19058.0</v>
      </c>
      <c r="CV65" s="259">
        <v>85469.093</v>
      </c>
      <c r="CW65" s="259"/>
    </row>
    <row r="66">
      <c r="A66" s="304"/>
      <c r="B66" s="314"/>
      <c r="C66" s="306"/>
      <c r="D66" s="306"/>
      <c r="E66" s="306"/>
      <c r="F66" s="306"/>
      <c r="G66" s="314"/>
      <c r="H66" s="306"/>
      <c r="I66" s="314"/>
      <c r="J66" s="314"/>
      <c r="K66" s="306"/>
      <c r="L66" s="306"/>
      <c r="M66" s="306"/>
      <c r="N66" s="314"/>
      <c r="O66" s="305"/>
      <c r="P66" s="314"/>
      <c r="Q66" s="304"/>
      <c r="R66" s="304"/>
      <c r="S66" s="314">
        <v>-11455.0</v>
      </c>
      <c r="T66" s="306">
        <v>794.0</v>
      </c>
      <c r="U66" s="306">
        <v>1025.02</v>
      </c>
      <c r="V66" s="306">
        <v>800.0</v>
      </c>
      <c r="W66" s="306">
        <v>850.0</v>
      </c>
      <c r="X66" s="314">
        <v>-4060.0</v>
      </c>
      <c r="Y66" s="306">
        <v>2094.0</v>
      </c>
      <c r="Z66" s="314">
        <v>-4109.0</v>
      </c>
      <c r="AA66" s="314">
        <v>-2795.0</v>
      </c>
      <c r="AB66" s="306">
        <v>2140.0</v>
      </c>
      <c r="AC66" s="306">
        <v>445.4300000000003</v>
      </c>
      <c r="AD66" s="306">
        <v>2179.6099999999997</v>
      </c>
      <c r="AE66" s="314">
        <v>-19436.0</v>
      </c>
      <c r="AF66" s="305">
        <v>859.0</v>
      </c>
      <c r="AG66" s="314">
        <v>-30667.94</v>
      </c>
      <c r="AH66" s="304"/>
      <c r="AI66" s="304" t="s">
        <v>119</v>
      </c>
      <c r="AJ66" s="382">
        <v>-474.0</v>
      </c>
      <c r="AK66" s="379">
        <v>-916.0</v>
      </c>
      <c r="AL66" s="382">
        <v>830.0</v>
      </c>
      <c r="AM66" s="379">
        <v>1000.0</v>
      </c>
      <c r="AN66" s="379">
        <v>-1300.0</v>
      </c>
      <c r="AO66" s="379">
        <v>378.0</v>
      </c>
      <c r="AP66" s="382">
        <v>231.0</v>
      </c>
      <c r="AQ66" s="379">
        <v>-9617.0</v>
      </c>
      <c r="AR66" s="379">
        <v>-793.0</v>
      </c>
      <c r="AS66" s="379">
        <v>-8675.0</v>
      </c>
      <c r="AT66" s="379">
        <v>136.0</v>
      </c>
      <c r="AU66" s="379">
        <v>-509.0</v>
      </c>
      <c r="AV66" s="382">
        <v>-23459.0</v>
      </c>
      <c r="AW66" s="382"/>
      <c r="AX66" s="304"/>
      <c r="AY66" s="304" t="s">
        <v>119</v>
      </c>
      <c r="AZ66" s="382">
        <v>-35220.0</v>
      </c>
      <c r="BA66" s="379">
        <v>-299.0</v>
      </c>
      <c r="BB66" s="382">
        <v>-1859.9300000000003</v>
      </c>
      <c r="BC66" s="379">
        <v>600.0</v>
      </c>
      <c r="BD66" s="379">
        <v>2515.0</v>
      </c>
      <c r="BE66" s="379">
        <v>0.0</v>
      </c>
      <c r="BF66" s="382">
        <v>60.0</v>
      </c>
      <c r="BG66" s="379">
        <v>-7237.0</v>
      </c>
      <c r="BH66" s="379">
        <v>-37160.0</v>
      </c>
      <c r="BI66" s="379">
        <v>-5599.0</v>
      </c>
      <c r="BJ66" s="379">
        <v>-2267.0</v>
      </c>
      <c r="BK66" s="379">
        <v>517.0</v>
      </c>
      <c r="BL66" s="382">
        <v>-13945.0</v>
      </c>
      <c r="BM66" s="382">
        <v>-99894.93</v>
      </c>
      <c r="BO66" s="304" t="s">
        <v>119</v>
      </c>
      <c r="BP66" s="383">
        <v>-47512.87</v>
      </c>
      <c r="BQ66" s="381">
        <v>2200.0</v>
      </c>
      <c r="BR66" s="383">
        <v>-552.0</v>
      </c>
      <c r="BS66" s="381">
        <v>1000.0</v>
      </c>
      <c r="BT66" s="381">
        <v>1751.0</v>
      </c>
      <c r="BU66" s="381">
        <v>0.0</v>
      </c>
      <c r="BV66" s="383">
        <v>-1943.0</v>
      </c>
      <c r="BW66" s="381">
        <v>-10583.0</v>
      </c>
      <c r="BX66" s="381">
        <v>1261.0</v>
      </c>
      <c r="BY66" s="381">
        <v>971.0</v>
      </c>
      <c r="BZ66" s="381">
        <v>-0.2000000000007276</v>
      </c>
      <c r="CA66" s="381">
        <v>1451.7299999999996</v>
      </c>
      <c r="CB66" s="383">
        <v>-8930.0</v>
      </c>
      <c r="CC66" s="383">
        <v>-60886.34000000001</v>
      </c>
      <c r="CD66" s="30"/>
      <c r="CE66" s="30"/>
      <c r="CF66" s="330" t="s">
        <v>102</v>
      </c>
      <c r="CG66" s="30"/>
      <c r="CH66" s="259">
        <v>-8100.0</v>
      </c>
      <c r="CI66" s="259">
        <v>900.0</v>
      </c>
      <c r="CJ66" s="384">
        <v>-752.0</v>
      </c>
      <c r="CK66" s="259">
        <v>215.0</v>
      </c>
      <c r="CL66" s="259">
        <v>500.0</v>
      </c>
      <c r="CM66" s="259">
        <v>0.0</v>
      </c>
      <c r="CN66" s="259">
        <v>0.0</v>
      </c>
      <c r="CO66" s="259">
        <v>2750.0</v>
      </c>
      <c r="CP66" s="384">
        <v>-5596.0</v>
      </c>
      <c r="CQ66" s="259">
        <v>1136.0</v>
      </c>
      <c r="CR66" s="260">
        <v>1500.0</v>
      </c>
      <c r="CS66" s="259">
        <v>469.2999999999993</v>
      </c>
      <c r="CT66" s="259">
        <v>-1433.393</v>
      </c>
      <c r="CU66" s="259">
        <v>-14058.0</v>
      </c>
      <c r="CV66" s="259">
        <v>-22469.093</v>
      </c>
      <c r="CW66" s="259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259"/>
      <c r="CG67" s="30"/>
      <c r="CH67" s="259"/>
      <c r="CI67" s="259"/>
      <c r="CJ67" s="259"/>
      <c r="CK67" s="259"/>
      <c r="CL67" s="259"/>
      <c r="CM67" s="259"/>
      <c r="CN67" s="259"/>
      <c r="CO67" s="259"/>
      <c r="CP67" s="259"/>
      <c r="CQ67" s="259"/>
      <c r="CR67" s="260"/>
      <c r="CS67" s="259"/>
      <c r="CT67" s="259"/>
      <c r="CU67" s="259"/>
      <c r="CV67" s="259">
        <v>62999.99999999999</v>
      </c>
      <c r="CW67" s="259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259"/>
      <c r="CG68" s="259"/>
      <c r="CH68" s="259"/>
      <c r="CI68" s="259"/>
      <c r="CJ68" s="259"/>
      <c r="CK68" s="259"/>
      <c r="CL68" s="259"/>
      <c r="CM68" s="259"/>
      <c r="CN68" s="259"/>
      <c r="CO68" s="259"/>
      <c r="CP68" s="259"/>
      <c r="CQ68" s="260"/>
      <c r="CR68" s="259"/>
      <c r="CS68" s="259"/>
      <c r="CT68" s="259"/>
      <c r="CU68" s="259"/>
      <c r="CV68" s="259"/>
      <c r="CW68" s="259"/>
    </row>
    <row r="69">
      <c r="A69" s="264"/>
      <c r="B69" s="4" t="s">
        <v>2</v>
      </c>
      <c r="C69" s="5" t="s">
        <v>3</v>
      </c>
      <c r="D69" s="6" t="s">
        <v>4</v>
      </c>
      <c r="E69" s="7" t="s">
        <v>5</v>
      </c>
      <c r="F69" s="8" t="s">
        <v>120</v>
      </c>
      <c r="G69" s="9" t="s">
        <v>7</v>
      </c>
      <c r="H69" s="10" t="s">
        <v>8</v>
      </c>
      <c r="I69" s="9" t="s">
        <v>9</v>
      </c>
      <c r="J69" s="11" t="s">
        <v>10</v>
      </c>
      <c r="K69" s="12" t="s">
        <v>11</v>
      </c>
      <c r="L69" s="12" t="s">
        <v>12</v>
      </c>
      <c r="M69" s="13" t="s">
        <v>13</v>
      </c>
      <c r="N69" s="5" t="s">
        <v>14</v>
      </c>
      <c r="O69" s="14" t="s">
        <v>15</v>
      </c>
      <c r="P69" s="276" t="s">
        <v>16</v>
      </c>
      <c r="Q69" s="277"/>
      <c r="R69" s="264">
        <v>45901.0</v>
      </c>
      <c r="S69" s="4" t="s">
        <v>2</v>
      </c>
      <c r="T69" s="5" t="s">
        <v>3</v>
      </c>
      <c r="U69" s="6" t="s">
        <v>4</v>
      </c>
      <c r="V69" s="7" t="s">
        <v>5</v>
      </c>
      <c r="W69" s="8" t="s">
        <v>120</v>
      </c>
      <c r="X69" s="9" t="s">
        <v>7</v>
      </c>
      <c r="Y69" s="10" t="s">
        <v>8</v>
      </c>
      <c r="Z69" s="9" t="s">
        <v>9</v>
      </c>
      <c r="AA69" s="11" t="s">
        <v>10</v>
      </c>
      <c r="AB69" s="12" t="s">
        <v>11</v>
      </c>
      <c r="AC69" s="12" t="s">
        <v>12</v>
      </c>
      <c r="AD69" s="13" t="s">
        <v>13</v>
      </c>
      <c r="AE69" s="5" t="s">
        <v>14</v>
      </c>
      <c r="AF69" s="14" t="s">
        <v>15</v>
      </c>
      <c r="AG69" s="276" t="s">
        <v>16</v>
      </c>
      <c r="AH69" s="277"/>
      <c r="AI69" s="264">
        <v>45536.0</v>
      </c>
      <c r="AJ69" s="5" t="s">
        <v>2</v>
      </c>
      <c r="AK69" s="5" t="s">
        <v>3</v>
      </c>
      <c r="AL69" s="6" t="s">
        <v>4</v>
      </c>
      <c r="AM69" s="7" t="s">
        <v>5</v>
      </c>
      <c r="AN69" s="280" t="s">
        <v>103</v>
      </c>
      <c r="AO69" s="9" t="s">
        <v>7</v>
      </c>
      <c r="AP69" s="10" t="s">
        <v>105</v>
      </c>
      <c r="AQ69" s="9" t="s">
        <v>9</v>
      </c>
      <c r="AR69" s="11" t="s">
        <v>106</v>
      </c>
      <c r="AS69" s="12" t="s">
        <v>107</v>
      </c>
      <c r="AT69" s="12" t="s">
        <v>12</v>
      </c>
      <c r="AU69" s="13" t="s">
        <v>13</v>
      </c>
      <c r="AV69" s="5" t="s">
        <v>14</v>
      </c>
      <c r="AW69" s="15" t="s">
        <v>108</v>
      </c>
      <c r="AX69" s="385"/>
      <c r="AY69" s="386">
        <v>45170.0</v>
      </c>
      <c r="AZ69" s="387" t="s">
        <v>2</v>
      </c>
      <c r="BA69" s="387" t="s">
        <v>3</v>
      </c>
      <c r="BB69" s="388" t="s">
        <v>4</v>
      </c>
      <c r="BC69" s="389" t="s">
        <v>5</v>
      </c>
      <c r="BD69" s="390" t="s">
        <v>103</v>
      </c>
      <c r="BE69" s="391" t="s">
        <v>110</v>
      </c>
      <c r="BF69" s="392" t="s">
        <v>105</v>
      </c>
      <c r="BG69" s="391" t="s">
        <v>9</v>
      </c>
      <c r="BH69" s="393" t="s">
        <v>106</v>
      </c>
      <c r="BI69" s="394" t="s">
        <v>111</v>
      </c>
      <c r="BJ69" s="394" t="s">
        <v>12</v>
      </c>
      <c r="BK69" s="395" t="s">
        <v>13</v>
      </c>
      <c r="BL69" s="387" t="s">
        <v>14</v>
      </c>
      <c r="BM69" s="290" t="s">
        <v>112</v>
      </c>
      <c r="BO69" s="396"/>
      <c r="BP69" s="387" t="s">
        <v>2</v>
      </c>
      <c r="BQ69" s="387" t="s">
        <v>3</v>
      </c>
      <c r="BR69" s="388" t="s">
        <v>4</v>
      </c>
      <c r="BS69" s="389" t="s">
        <v>5</v>
      </c>
      <c r="BT69" s="390" t="s">
        <v>103</v>
      </c>
      <c r="BU69" s="391" t="s">
        <v>110</v>
      </c>
      <c r="BV69" s="392" t="s">
        <v>105</v>
      </c>
      <c r="BW69" s="391" t="s">
        <v>9</v>
      </c>
      <c r="BX69" s="393" t="s">
        <v>106</v>
      </c>
      <c r="BY69" s="394" t="s">
        <v>111</v>
      </c>
      <c r="BZ69" s="394" t="s">
        <v>12</v>
      </c>
      <c r="CA69" s="395" t="s">
        <v>13</v>
      </c>
      <c r="CB69" s="387" t="s">
        <v>14</v>
      </c>
      <c r="CC69" s="397" t="s">
        <v>108</v>
      </c>
      <c r="CD69" s="30"/>
      <c r="CE69" s="30"/>
      <c r="CF69" s="345">
        <v>44440.0</v>
      </c>
      <c r="CG69" s="357"/>
      <c r="CH69" s="303" t="s">
        <v>2</v>
      </c>
      <c r="CI69" s="357" t="s">
        <v>3</v>
      </c>
      <c r="CJ69" s="357" t="s">
        <v>4</v>
      </c>
      <c r="CK69" s="357" t="s">
        <v>92</v>
      </c>
      <c r="CL69" s="357" t="s">
        <v>93</v>
      </c>
      <c r="CM69" s="357" t="s">
        <v>94</v>
      </c>
      <c r="CN69" s="357" t="s">
        <v>95</v>
      </c>
      <c r="CO69" s="357" t="s">
        <v>96</v>
      </c>
      <c r="CP69" s="357" t="s">
        <v>9</v>
      </c>
      <c r="CQ69" s="358" t="s">
        <v>97</v>
      </c>
      <c r="CR69" s="359" t="s">
        <v>98</v>
      </c>
      <c r="CS69" s="357" t="s">
        <v>99</v>
      </c>
      <c r="CT69" s="357" t="s">
        <v>13</v>
      </c>
      <c r="CU69" s="357" t="s">
        <v>14</v>
      </c>
      <c r="CV69" s="259"/>
      <c r="CW69" s="259"/>
    </row>
    <row r="70">
      <c r="A70" s="304"/>
      <c r="B70" s="305"/>
      <c r="C70" s="305"/>
      <c r="D70" s="305"/>
      <c r="E70" s="305"/>
      <c r="F70" s="305"/>
      <c r="G70" s="305"/>
      <c r="H70" s="305"/>
      <c r="I70" s="305"/>
      <c r="J70" s="305"/>
      <c r="K70" s="305"/>
      <c r="L70" s="305"/>
      <c r="M70" s="305"/>
      <c r="N70" s="305"/>
      <c r="O70" s="305"/>
      <c r="P70" s="306"/>
      <c r="Q70" s="304"/>
      <c r="R70" s="304"/>
      <c r="S70" s="305">
        <v>42097.0</v>
      </c>
      <c r="T70" s="305">
        <v>2656.0</v>
      </c>
      <c r="U70" s="305">
        <v>3624.54</v>
      </c>
      <c r="V70" s="305">
        <v>100.0</v>
      </c>
      <c r="W70" s="305">
        <v>8346.0</v>
      </c>
      <c r="X70" s="305">
        <v>11887.0</v>
      </c>
      <c r="Y70" s="305">
        <v>5150.0</v>
      </c>
      <c r="Z70" s="305">
        <v>18661.0</v>
      </c>
      <c r="AA70" s="305">
        <v>6089.0</v>
      </c>
      <c r="AB70" s="305">
        <v>2265.0</v>
      </c>
      <c r="AC70" s="305">
        <v>4075.5</v>
      </c>
      <c r="AD70" s="305">
        <v>6206.66</v>
      </c>
      <c r="AE70" s="305">
        <v>65379.0</v>
      </c>
      <c r="AF70" s="305">
        <v>3100.0</v>
      </c>
      <c r="AG70" s="306">
        <v>179636.7</v>
      </c>
      <c r="AH70" s="304"/>
      <c r="AI70" s="304" t="s">
        <v>34</v>
      </c>
      <c r="AJ70" s="308">
        <v>70263.0</v>
      </c>
      <c r="AK70" s="308">
        <v>5200.0</v>
      </c>
      <c r="AL70" s="308">
        <v>5500.0</v>
      </c>
      <c r="AM70" s="308">
        <v>912.0</v>
      </c>
      <c r="AN70" s="308">
        <v>300.0</v>
      </c>
      <c r="AO70" s="308">
        <v>13208.0</v>
      </c>
      <c r="AP70" s="308">
        <v>5715.0</v>
      </c>
      <c r="AQ70" s="308">
        <v>18964.0</v>
      </c>
      <c r="AR70" s="308">
        <v>13890.0</v>
      </c>
      <c r="AS70" s="308">
        <v>1580.0</v>
      </c>
      <c r="AT70" s="308">
        <v>4761.0</v>
      </c>
      <c r="AU70" s="308">
        <v>7219.0</v>
      </c>
      <c r="AV70" s="308">
        <v>12945.0</v>
      </c>
      <c r="AW70" s="39">
        <f>SUM(AJ70:AV70)</f>
        <v>160457</v>
      </c>
      <c r="AX70" s="304"/>
      <c r="AY70" s="304" t="s">
        <v>34</v>
      </c>
      <c r="AZ70" s="360">
        <v>8141.0</v>
      </c>
      <c r="BA70" s="360">
        <v>2099.0</v>
      </c>
      <c r="BB70" s="360">
        <v>5137.29</v>
      </c>
      <c r="BC70" s="360">
        <v>400.0</v>
      </c>
      <c r="BD70" s="360">
        <v>32119.0</v>
      </c>
      <c r="BE70" s="360">
        <v>3300.0</v>
      </c>
      <c r="BF70" s="360">
        <v>5510.0</v>
      </c>
      <c r="BG70" s="360">
        <v>16527.0</v>
      </c>
      <c r="BH70" s="360">
        <v>3552.0</v>
      </c>
      <c r="BI70" s="360">
        <v>8762.5</v>
      </c>
      <c r="BJ70" s="360">
        <v>5713.3099999999995</v>
      </c>
      <c r="BK70" s="360">
        <v>10589.698</v>
      </c>
      <c r="BL70" s="360">
        <v>7605.0</v>
      </c>
      <c r="BM70" s="360">
        <v>109455.79800000001</v>
      </c>
      <c r="BO70" s="304" t="s">
        <v>34</v>
      </c>
      <c r="BP70" s="380">
        <v>29950.0</v>
      </c>
      <c r="BQ70" s="380">
        <v>2299.0</v>
      </c>
      <c r="BR70" s="380">
        <v>4505.0</v>
      </c>
      <c r="BS70" s="380">
        <v>980.0</v>
      </c>
      <c r="BT70" s="380">
        <v>0.0</v>
      </c>
      <c r="BU70" s="380">
        <v>8580.0</v>
      </c>
      <c r="BV70" s="380">
        <v>2278.0</v>
      </c>
      <c r="BW70" s="380">
        <v>19380.0</v>
      </c>
      <c r="BX70" s="380">
        <v>1463.0</v>
      </c>
      <c r="BY70" s="380">
        <v>10000.0</v>
      </c>
      <c r="BZ70" s="380">
        <v>5494.0</v>
      </c>
      <c r="CA70" s="380">
        <v>5354.0</v>
      </c>
      <c r="CB70" s="380">
        <v>4254.0</v>
      </c>
      <c r="CC70" s="380">
        <v>94537.0</v>
      </c>
      <c r="CD70" s="30"/>
      <c r="CE70" s="30"/>
      <c r="CF70" s="330" t="s">
        <v>100</v>
      </c>
      <c r="CG70" s="330"/>
      <c r="CH70" s="304"/>
      <c r="CI70" s="304"/>
      <c r="CJ70" s="330"/>
      <c r="CK70" s="330"/>
      <c r="CL70" s="330"/>
      <c r="CM70" s="330"/>
      <c r="CN70" s="304"/>
      <c r="CO70" s="330"/>
      <c r="CP70" s="330"/>
      <c r="CQ70" s="330"/>
      <c r="CR70" s="304"/>
      <c r="CS70" s="330"/>
      <c r="CT70" s="330"/>
      <c r="CU70" s="304"/>
      <c r="CV70" s="259"/>
      <c r="CW70" s="259"/>
    </row>
    <row r="71">
      <c r="A71" s="304"/>
      <c r="B71" s="314"/>
      <c r="C71" s="314"/>
      <c r="D71" s="306"/>
      <c r="E71" s="306"/>
      <c r="F71" s="314"/>
      <c r="G71" s="314"/>
      <c r="H71" s="306"/>
      <c r="I71" s="314"/>
      <c r="J71" s="306"/>
      <c r="K71" s="306"/>
      <c r="L71" s="306"/>
      <c r="M71" s="306"/>
      <c r="N71" s="314"/>
      <c r="O71" s="305"/>
      <c r="P71" s="314"/>
      <c r="Q71" s="304"/>
      <c r="R71" s="304"/>
      <c r="S71" s="314">
        <v>-17097.0</v>
      </c>
      <c r="T71" s="314">
        <v>-156.0</v>
      </c>
      <c r="U71" s="306">
        <v>1375.46</v>
      </c>
      <c r="V71" s="306">
        <v>700.0</v>
      </c>
      <c r="W71" s="314">
        <v>-3846.0</v>
      </c>
      <c r="X71" s="314">
        <v>-6887.0</v>
      </c>
      <c r="Y71" s="306">
        <v>1850.0</v>
      </c>
      <c r="Z71" s="314">
        <v>-3661.0</v>
      </c>
      <c r="AA71" s="306">
        <v>911.0</v>
      </c>
      <c r="AB71" s="306">
        <v>1735.0</v>
      </c>
      <c r="AC71" s="306">
        <v>924.5</v>
      </c>
      <c r="AD71" s="306">
        <v>1793.3400000000001</v>
      </c>
      <c r="AE71" s="314">
        <v>-59379.0</v>
      </c>
      <c r="AF71" s="305">
        <v>900.0</v>
      </c>
      <c r="AG71" s="314">
        <v>-80836.7</v>
      </c>
      <c r="AH71" s="304"/>
      <c r="AI71" s="304" t="s">
        <v>119</v>
      </c>
      <c r="AJ71" s="316">
        <v>-67263.0</v>
      </c>
      <c r="AK71" s="316">
        <v>-3000.0</v>
      </c>
      <c r="AL71" s="316">
        <v>0.0</v>
      </c>
      <c r="AM71" s="39">
        <v>88.0</v>
      </c>
      <c r="AN71" s="316">
        <v>2700.0</v>
      </c>
      <c r="AO71" s="316">
        <v>-8208.0</v>
      </c>
      <c r="AP71" s="39">
        <v>285.0</v>
      </c>
      <c r="AQ71" s="39">
        <v>6036.0</v>
      </c>
      <c r="AR71" s="316">
        <v>-10890.0</v>
      </c>
      <c r="AS71" s="316">
        <v>1420.0</v>
      </c>
      <c r="AT71" s="316">
        <v>239.0</v>
      </c>
      <c r="AU71" s="316">
        <v>-419.0</v>
      </c>
      <c r="AV71" s="316">
        <v>-9945.0</v>
      </c>
      <c r="AW71" s="398"/>
      <c r="AX71" s="304"/>
      <c r="AY71" s="304" t="s">
        <v>119</v>
      </c>
      <c r="AZ71" s="398">
        <v>-5141.0</v>
      </c>
      <c r="BA71" s="360">
        <v>101.0</v>
      </c>
      <c r="BB71" s="398">
        <v>-1137.29</v>
      </c>
      <c r="BC71" s="360">
        <v>600.0</v>
      </c>
      <c r="BD71" s="398">
        <v>-29119.0</v>
      </c>
      <c r="BE71" s="360">
        <v>0.0</v>
      </c>
      <c r="BF71" s="360">
        <v>490.0</v>
      </c>
      <c r="BG71" s="360">
        <v>473.0</v>
      </c>
      <c r="BH71" s="398">
        <v>-552.0</v>
      </c>
      <c r="BI71" s="398">
        <v>-1162.5</v>
      </c>
      <c r="BJ71" s="398">
        <v>-713.3099999999995</v>
      </c>
      <c r="BK71" s="398">
        <v>-3989.6980000000003</v>
      </c>
      <c r="BL71" s="398">
        <v>-4605.0</v>
      </c>
      <c r="BM71" s="398">
        <v>-44755.797999999995</v>
      </c>
      <c r="BO71" s="304" t="s">
        <v>119</v>
      </c>
      <c r="BP71" s="399">
        <v>-26950.0</v>
      </c>
      <c r="BQ71" s="380">
        <v>-99.0</v>
      </c>
      <c r="BR71" s="399">
        <v>-505.0</v>
      </c>
      <c r="BS71" s="380">
        <v>20.0</v>
      </c>
      <c r="BT71" s="380">
        <v>3000.0</v>
      </c>
      <c r="BU71" s="380">
        <v>0.0</v>
      </c>
      <c r="BV71" s="380">
        <v>3722.0</v>
      </c>
      <c r="BW71" s="399">
        <v>-7380.0</v>
      </c>
      <c r="BX71" s="380">
        <v>3537.0</v>
      </c>
      <c r="BY71" s="399">
        <v>-3000.0</v>
      </c>
      <c r="BZ71" s="399">
        <v>-494.0</v>
      </c>
      <c r="CA71" s="380">
        <v>466.0</v>
      </c>
      <c r="CB71" s="399">
        <v>-1254.0</v>
      </c>
      <c r="CC71" s="399">
        <v>-28937.0</v>
      </c>
      <c r="CD71" s="30"/>
      <c r="CE71" s="30"/>
      <c r="CF71" s="330" t="s">
        <v>102</v>
      </c>
      <c r="CG71" s="330"/>
      <c r="CH71" s="330"/>
      <c r="CI71" s="330"/>
      <c r="CJ71" s="330"/>
      <c r="CK71" s="330"/>
      <c r="CL71" s="330"/>
      <c r="CM71" s="330"/>
      <c r="CN71" s="330"/>
      <c r="CO71" s="330"/>
      <c r="CP71" s="330"/>
      <c r="CQ71" s="330"/>
      <c r="CR71" s="330"/>
      <c r="CS71" s="330"/>
      <c r="CT71" s="330"/>
      <c r="CU71" s="304"/>
      <c r="CV71" s="259"/>
      <c r="CW71" s="259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259"/>
      <c r="CG72" s="259"/>
      <c r="CH72" s="259"/>
      <c r="CI72" s="259"/>
      <c r="CJ72" s="259"/>
      <c r="CK72" s="259"/>
      <c r="CL72" s="259"/>
      <c r="CM72" s="259"/>
      <c r="CN72" s="259"/>
      <c r="CO72" s="259"/>
      <c r="CP72" s="259"/>
      <c r="CQ72" s="260"/>
      <c r="CR72" s="259"/>
      <c r="CS72" s="259"/>
      <c r="CT72" s="259"/>
      <c r="CU72" s="259"/>
      <c r="CV72" s="259"/>
      <c r="CW72" s="259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259"/>
      <c r="CG73" s="259"/>
      <c r="CH73" s="259"/>
      <c r="CI73" s="259"/>
      <c r="CJ73" s="259"/>
      <c r="CK73" s="259"/>
      <c r="CL73" s="259"/>
      <c r="CM73" s="259"/>
      <c r="CN73" s="259"/>
      <c r="CO73" s="259"/>
      <c r="CP73" s="259"/>
      <c r="CQ73" s="260"/>
      <c r="CR73" s="259"/>
      <c r="CS73" s="259"/>
      <c r="CT73" s="259"/>
      <c r="CU73" s="259"/>
      <c r="CV73" s="259"/>
      <c r="CW73" s="259"/>
    </row>
    <row r="74">
      <c r="A74" s="264"/>
      <c r="B74" s="4" t="s">
        <v>2</v>
      </c>
      <c r="C74" s="5" t="s">
        <v>3</v>
      </c>
      <c r="D74" s="6" t="s">
        <v>4</v>
      </c>
      <c r="E74" s="7" t="s">
        <v>5</v>
      </c>
      <c r="F74" s="8" t="s">
        <v>120</v>
      </c>
      <c r="G74" s="9" t="s">
        <v>7</v>
      </c>
      <c r="H74" s="10" t="s">
        <v>8</v>
      </c>
      <c r="I74" s="9" t="s">
        <v>9</v>
      </c>
      <c r="J74" s="11" t="s">
        <v>10</v>
      </c>
      <c r="K74" s="12" t="s">
        <v>11</v>
      </c>
      <c r="L74" s="12" t="s">
        <v>12</v>
      </c>
      <c r="M74" s="13" t="s">
        <v>13</v>
      </c>
      <c r="N74" s="5" t="s">
        <v>14</v>
      </c>
      <c r="O74" s="14" t="s">
        <v>15</v>
      </c>
      <c r="P74" s="276" t="s">
        <v>16</v>
      </c>
      <c r="Q74" s="277"/>
      <c r="R74" s="264">
        <v>45931.0</v>
      </c>
      <c r="S74" s="4" t="s">
        <v>2</v>
      </c>
      <c r="T74" s="5" t="s">
        <v>3</v>
      </c>
      <c r="U74" s="6" t="s">
        <v>4</v>
      </c>
      <c r="V74" s="7" t="s">
        <v>5</v>
      </c>
      <c r="W74" s="8" t="s">
        <v>120</v>
      </c>
      <c r="X74" s="9" t="s">
        <v>7</v>
      </c>
      <c r="Y74" s="10" t="s">
        <v>8</v>
      </c>
      <c r="Z74" s="9" t="s">
        <v>9</v>
      </c>
      <c r="AA74" s="11" t="s">
        <v>10</v>
      </c>
      <c r="AB74" s="12" t="s">
        <v>11</v>
      </c>
      <c r="AC74" s="12" t="s">
        <v>12</v>
      </c>
      <c r="AD74" s="13" t="s">
        <v>13</v>
      </c>
      <c r="AE74" s="5" t="s">
        <v>14</v>
      </c>
      <c r="AF74" s="14" t="s">
        <v>15</v>
      </c>
      <c r="AG74" s="276" t="s">
        <v>16</v>
      </c>
      <c r="AH74" s="277"/>
      <c r="AI74" s="264">
        <v>45566.0</v>
      </c>
      <c r="AJ74" s="5" t="s">
        <v>2</v>
      </c>
      <c r="AK74" s="5" t="s">
        <v>3</v>
      </c>
      <c r="AL74" s="6" t="s">
        <v>4</v>
      </c>
      <c r="AM74" s="7" t="s">
        <v>5</v>
      </c>
      <c r="AN74" s="280" t="s">
        <v>103</v>
      </c>
      <c r="AO74" s="9" t="s">
        <v>7</v>
      </c>
      <c r="AP74" s="10" t="s">
        <v>105</v>
      </c>
      <c r="AQ74" s="9" t="s">
        <v>9</v>
      </c>
      <c r="AR74" s="11" t="s">
        <v>106</v>
      </c>
      <c r="AS74" s="12" t="s">
        <v>107</v>
      </c>
      <c r="AT74" s="12" t="s">
        <v>12</v>
      </c>
      <c r="AU74" s="13" t="s">
        <v>13</v>
      </c>
      <c r="AV74" s="5" t="s">
        <v>14</v>
      </c>
      <c r="AW74" s="15" t="s">
        <v>108</v>
      </c>
      <c r="AX74" s="385"/>
      <c r="AY74" s="386">
        <v>45200.0</v>
      </c>
      <c r="AZ74" s="292" t="s">
        <v>2</v>
      </c>
      <c r="BA74" s="292" t="s">
        <v>3</v>
      </c>
      <c r="BB74" s="293" t="s">
        <v>4</v>
      </c>
      <c r="BC74" s="294" t="s">
        <v>5</v>
      </c>
      <c r="BD74" s="295" t="s">
        <v>103</v>
      </c>
      <c r="BE74" s="296" t="s">
        <v>110</v>
      </c>
      <c r="BF74" s="297" t="s">
        <v>105</v>
      </c>
      <c r="BG74" s="296" t="s">
        <v>9</v>
      </c>
      <c r="BH74" s="298" t="s">
        <v>106</v>
      </c>
      <c r="BI74" s="299" t="s">
        <v>111</v>
      </c>
      <c r="BJ74" s="299" t="s">
        <v>12</v>
      </c>
      <c r="BK74" s="300" t="s">
        <v>13</v>
      </c>
      <c r="BL74" s="292" t="s">
        <v>14</v>
      </c>
      <c r="BM74" s="290" t="s">
        <v>112</v>
      </c>
      <c r="BO74" s="396"/>
      <c r="BP74" s="292" t="s">
        <v>2</v>
      </c>
      <c r="BQ74" s="292" t="s">
        <v>3</v>
      </c>
      <c r="BR74" s="293" t="s">
        <v>4</v>
      </c>
      <c r="BS74" s="294" t="s">
        <v>5</v>
      </c>
      <c r="BT74" s="295" t="s">
        <v>103</v>
      </c>
      <c r="BU74" s="296" t="s">
        <v>110</v>
      </c>
      <c r="BV74" s="297" t="s">
        <v>105</v>
      </c>
      <c r="BW74" s="296" t="s">
        <v>9</v>
      </c>
      <c r="BX74" s="298" t="s">
        <v>106</v>
      </c>
      <c r="BY74" s="299" t="s">
        <v>111</v>
      </c>
      <c r="BZ74" s="299" t="s">
        <v>12</v>
      </c>
      <c r="CA74" s="300" t="s">
        <v>13</v>
      </c>
      <c r="CB74" s="292" t="s">
        <v>14</v>
      </c>
      <c r="CC74" s="397" t="s">
        <v>108</v>
      </c>
      <c r="CD74" s="30"/>
      <c r="CE74" s="30"/>
      <c r="CF74" s="325">
        <v>44470.0</v>
      </c>
      <c r="CG74" s="327" t="s">
        <v>2</v>
      </c>
      <c r="CH74" s="327" t="s">
        <v>3</v>
      </c>
      <c r="CI74" s="327" t="s">
        <v>4</v>
      </c>
      <c r="CJ74" s="327" t="s">
        <v>113</v>
      </c>
      <c r="CK74" s="327" t="s">
        <v>123</v>
      </c>
      <c r="CL74" s="327" t="s">
        <v>114</v>
      </c>
      <c r="CM74" s="327" t="s">
        <v>122</v>
      </c>
      <c r="CN74" s="327" t="s">
        <v>115</v>
      </c>
      <c r="CO74" s="327" t="s">
        <v>9</v>
      </c>
      <c r="CP74" s="327" t="s">
        <v>97</v>
      </c>
      <c r="CQ74" s="400" t="s">
        <v>98</v>
      </c>
      <c r="CR74" s="327" t="s">
        <v>12</v>
      </c>
      <c r="CS74" s="327" t="s">
        <v>13</v>
      </c>
      <c r="CT74" s="327" t="s">
        <v>14</v>
      </c>
      <c r="CU74" s="401"/>
      <c r="CV74" s="259"/>
      <c r="CW74" s="259"/>
    </row>
    <row r="75">
      <c r="A75" s="304"/>
      <c r="B75" s="305"/>
      <c r="C75" s="305"/>
      <c r="D75" s="305"/>
      <c r="E75" s="305"/>
      <c r="F75" s="305"/>
      <c r="G75" s="305"/>
      <c r="H75" s="305"/>
      <c r="I75" s="305"/>
      <c r="J75" s="305"/>
      <c r="K75" s="305"/>
      <c r="L75" s="305"/>
      <c r="M75" s="305"/>
      <c r="N75" s="305"/>
      <c r="O75" s="305"/>
      <c r="P75" s="306"/>
      <c r="Q75" s="304"/>
      <c r="R75" s="304"/>
      <c r="S75" s="305">
        <v>24620.0</v>
      </c>
      <c r="T75" s="305">
        <v>1827.0</v>
      </c>
      <c r="U75" s="305">
        <v>3231.75</v>
      </c>
      <c r="V75" s="305">
        <v>75.0</v>
      </c>
      <c r="W75" s="305">
        <v>11206.0</v>
      </c>
      <c r="X75" s="305">
        <v>18181.0</v>
      </c>
      <c r="Y75" s="305">
        <v>7450.0</v>
      </c>
      <c r="Z75" s="305">
        <v>18420.0</v>
      </c>
      <c r="AA75" s="305">
        <v>9634.0</v>
      </c>
      <c r="AB75" s="305">
        <v>7566.0</v>
      </c>
      <c r="AC75" s="305">
        <v>3241.0</v>
      </c>
      <c r="AD75" s="305">
        <v>6020.0</v>
      </c>
      <c r="AE75" s="305">
        <v>26677.0</v>
      </c>
      <c r="AF75" s="305">
        <v>3141.0</v>
      </c>
      <c r="AG75" s="306">
        <v>141289.75</v>
      </c>
      <c r="AH75" s="304"/>
      <c r="AI75" s="304" t="s">
        <v>34</v>
      </c>
      <c r="AJ75" s="378">
        <v>19208.0</v>
      </c>
      <c r="AK75" s="378">
        <v>1000.0</v>
      </c>
      <c r="AL75" s="378">
        <v>3850.0</v>
      </c>
      <c r="AM75" s="378">
        <v>900.0</v>
      </c>
      <c r="AN75" s="378">
        <v>2470.0</v>
      </c>
      <c r="AO75" s="378">
        <v>12225.0</v>
      </c>
      <c r="AP75" s="378">
        <v>7315.0</v>
      </c>
      <c r="AQ75" s="378">
        <v>22774.0</v>
      </c>
      <c r="AR75" s="378">
        <v>11736.0</v>
      </c>
      <c r="AS75" s="378">
        <v>280.0</v>
      </c>
      <c r="AT75" s="378">
        <v>4844.9</v>
      </c>
      <c r="AU75" s="378">
        <v>9457.48</v>
      </c>
      <c r="AV75" s="378">
        <v>7517.0</v>
      </c>
      <c r="AW75" s="379">
        <v>103577.37999999999</v>
      </c>
      <c r="AX75" s="304"/>
      <c r="AY75" s="304" t="s">
        <v>34</v>
      </c>
      <c r="AZ75" s="402">
        <v>0.0</v>
      </c>
      <c r="BA75" s="402">
        <v>2099.0</v>
      </c>
      <c r="BB75" s="402">
        <v>5472.0</v>
      </c>
      <c r="BC75" s="402">
        <v>850.0</v>
      </c>
      <c r="BD75" s="402">
        <v>12510.0</v>
      </c>
      <c r="BE75" s="402">
        <v>3300.0</v>
      </c>
      <c r="BF75" s="402">
        <v>6000.0</v>
      </c>
      <c r="BG75" s="402">
        <v>32687.0</v>
      </c>
      <c r="BH75" s="402">
        <v>3980.0</v>
      </c>
      <c r="BI75" s="402">
        <v>11662.0</v>
      </c>
      <c r="BJ75" s="402">
        <v>5966.0</v>
      </c>
      <c r="BK75" s="402">
        <v>6951.0</v>
      </c>
      <c r="BL75" s="402">
        <v>14721.0</v>
      </c>
      <c r="BM75" s="369">
        <v>106198.0</v>
      </c>
      <c r="BO75" s="304" t="s">
        <v>34</v>
      </c>
      <c r="BP75" s="380">
        <v>6740.0</v>
      </c>
      <c r="BQ75" s="380">
        <v>2099.0</v>
      </c>
      <c r="BR75" s="380">
        <v>5364.0</v>
      </c>
      <c r="BS75" s="380">
        <v>700.0</v>
      </c>
      <c r="BT75" s="380">
        <v>3400.0</v>
      </c>
      <c r="BU75" s="380">
        <v>8580.0</v>
      </c>
      <c r="BV75" s="380">
        <v>4690.0</v>
      </c>
      <c r="BW75" s="380">
        <v>26000.0</v>
      </c>
      <c r="BX75" s="380">
        <v>2887.0</v>
      </c>
      <c r="BY75" s="380">
        <v>6639.0</v>
      </c>
      <c r="BZ75" s="380">
        <v>8074.34</v>
      </c>
      <c r="CA75" s="380">
        <v>5983.73</v>
      </c>
      <c r="CB75" s="380">
        <f>12087+5500</f>
        <v>17587</v>
      </c>
      <c r="CC75" s="371">
        <f>93244.07+5500</f>
        <v>98744.07</v>
      </c>
      <c r="CD75" s="30"/>
      <c r="CE75" s="30"/>
      <c r="CF75" s="304" t="s">
        <v>100</v>
      </c>
      <c r="CG75" s="27">
        <v>3178.0</v>
      </c>
      <c r="CH75" s="256">
        <v>1600.0</v>
      </c>
      <c r="CI75" s="256">
        <v>3099.0</v>
      </c>
      <c r="CJ75" s="256">
        <v>1000.0</v>
      </c>
      <c r="CK75" s="256">
        <v>20380.0</v>
      </c>
      <c r="CL75" s="256">
        <v>0.0</v>
      </c>
      <c r="CM75" s="256">
        <v>0.0</v>
      </c>
      <c r="CN75" s="256">
        <v>6382.0</v>
      </c>
      <c r="CO75" s="256">
        <v>13619.0</v>
      </c>
      <c r="CP75" s="256">
        <v>50.0</v>
      </c>
      <c r="CQ75" s="256">
        <v>670.0</v>
      </c>
      <c r="CR75" s="257">
        <v>6245.0</v>
      </c>
      <c r="CS75" s="256">
        <v>15000.0</v>
      </c>
      <c r="CT75" s="256">
        <v>6814.0</v>
      </c>
      <c r="CU75" s="259">
        <v>78037.0</v>
      </c>
      <c r="CV75" s="259"/>
      <c r="CW75" s="259"/>
    </row>
    <row r="76">
      <c r="A76" s="304"/>
      <c r="B76" s="306"/>
      <c r="C76" s="306"/>
      <c r="D76" s="306"/>
      <c r="E76" s="306"/>
      <c r="F76" s="314"/>
      <c r="G76" s="314"/>
      <c r="H76" s="314"/>
      <c r="I76" s="314"/>
      <c r="J76" s="314"/>
      <c r="K76" s="314"/>
      <c r="L76" s="306"/>
      <c r="M76" s="306"/>
      <c r="N76" s="314"/>
      <c r="O76" s="305"/>
      <c r="P76" s="314"/>
      <c r="Q76" s="304"/>
      <c r="R76" s="304"/>
      <c r="S76" s="306">
        <v>380.0</v>
      </c>
      <c r="T76" s="306">
        <v>673.0</v>
      </c>
      <c r="U76" s="306">
        <v>1768.25</v>
      </c>
      <c r="V76" s="306">
        <v>725.0</v>
      </c>
      <c r="W76" s="314">
        <v>-6706.0</v>
      </c>
      <c r="X76" s="314">
        <v>-13181.0</v>
      </c>
      <c r="Y76" s="314">
        <v>-450.0</v>
      </c>
      <c r="Z76" s="314">
        <v>-3420.0</v>
      </c>
      <c r="AA76" s="314">
        <v>-2634.0</v>
      </c>
      <c r="AB76" s="314">
        <v>-3566.0</v>
      </c>
      <c r="AC76" s="306">
        <v>1759.0</v>
      </c>
      <c r="AD76" s="306">
        <v>1980.0</v>
      </c>
      <c r="AE76" s="314">
        <v>-20677.0</v>
      </c>
      <c r="AF76" s="305">
        <v>859.0</v>
      </c>
      <c r="AG76" s="314">
        <v>-42489.75</v>
      </c>
      <c r="AH76" s="304"/>
      <c r="AI76" s="304" t="s">
        <v>119</v>
      </c>
      <c r="AJ76" s="379">
        <v>-9208.0</v>
      </c>
      <c r="AK76" s="379">
        <v>500.0</v>
      </c>
      <c r="AL76" s="382">
        <v>1650.0</v>
      </c>
      <c r="AM76" s="379">
        <v>100.0</v>
      </c>
      <c r="AN76" s="382">
        <v>530.0</v>
      </c>
      <c r="AO76" s="379">
        <v>-7225.0</v>
      </c>
      <c r="AP76" s="39">
        <v>-1315.0</v>
      </c>
      <c r="AQ76" s="39">
        <v>-7774.0</v>
      </c>
      <c r="AR76" s="316">
        <v>-3736.0</v>
      </c>
      <c r="AS76" s="316">
        <v>2720.0</v>
      </c>
      <c r="AT76" s="316">
        <v>155.10000000000036</v>
      </c>
      <c r="AU76" s="316">
        <v>-2657.4799999999996</v>
      </c>
      <c r="AV76" s="316">
        <v>-4517.0</v>
      </c>
      <c r="AW76" s="316">
        <v>-30777.38</v>
      </c>
      <c r="AX76" s="304"/>
      <c r="AY76" s="304" t="s">
        <v>119</v>
      </c>
      <c r="AZ76" s="369">
        <v>3000.0</v>
      </c>
      <c r="BA76" s="369">
        <v>101.0</v>
      </c>
      <c r="BB76" s="382">
        <v>-1472.0</v>
      </c>
      <c r="BC76" s="369">
        <v>150.0</v>
      </c>
      <c r="BD76" s="382">
        <v>-9510.0</v>
      </c>
      <c r="BE76" s="369">
        <v>0.0</v>
      </c>
      <c r="BF76" s="360">
        <v>0.0</v>
      </c>
      <c r="BG76" s="360">
        <v>-15687.0</v>
      </c>
      <c r="BH76" s="316">
        <v>-980.0</v>
      </c>
      <c r="BI76" s="316">
        <v>-4062.0</v>
      </c>
      <c r="BJ76" s="316">
        <v>-966.0</v>
      </c>
      <c r="BK76" s="316">
        <v>-351.0</v>
      </c>
      <c r="BL76" s="316">
        <v>-11721.0</v>
      </c>
      <c r="BM76" s="316">
        <v>-41498.0</v>
      </c>
      <c r="BO76" s="304" t="s">
        <v>119</v>
      </c>
      <c r="BP76" s="403">
        <v>-3740.0</v>
      </c>
      <c r="BQ76" s="381">
        <v>101.0</v>
      </c>
      <c r="BR76" s="403">
        <v>-1364.0</v>
      </c>
      <c r="BS76" s="381">
        <v>300.0</v>
      </c>
      <c r="BT76" s="403">
        <v>-400.0</v>
      </c>
      <c r="BU76" s="381">
        <v>0.2000000000007276</v>
      </c>
      <c r="BV76" s="381">
        <v>1310.0</v>
      </c>
      <c r="BW76" s="403">
        <v>-14000.0</v>
      </c>
      <c r="BX76" s="381">
        <v>2113.0</v>
      </c>
      <c r="BY76" s="381">
        <v>361.0</v>
      </c>
      <c r="BZ76" s="403">
        <v>-1074.3400000000001</v>
      </c>
      <c r="CA76" s="403">
        <v>-163.72999999999956</v>
      </c>
      <c r="CB76" s="403">
        <f>-9087-5500</f>
        <v>-14587</v>
      </c>
      <c r="CC76" s="383">
        <f>-25643.87-5500</f>
        <v>-31143.87</v>
      </c>
      <c r="CD76" s="30"/>
      <c r="CE76" s="30"/>
      <c r="CF76" s="304" t="s">
        <v>102</v>
      </c>
      <c r="CG76" s="30">
        <v>-178.0</v>
      </c>
      <c r="CH76" s="259">
        <v>400.0</v>
      </c>
      <c r="CI76" s="259">
        <v>901.0</v>
      </c>
      <c r="CJ76" s="259">
        <v>0.0</v>
      </c>
      <c r="CK76" s="384">
        <v>-10380.0</v>
      </c>
      <c r="CL76" s="259">
        <v>0.0</v>
      </c>
      <c r="CM76" s="259">
        <v>0.0</v>
      </c>
      <c r="CN76" s="384">
        <v>-2382.0</v>
      </c>
      <c r="CO76" s="259">
        <v>-3619.0</v>
      </c>
      <c r="CP76" s="259">
        <v>950.0</v>
      </c>
      <c r="CQ76" s="259">
        <v>330.0</v>
      </c>
      <c r="CR76" s="404">
        <v>-45.0</v>
      </c>
      <c r="CS76" s="384">
        <v>-11250.0</v>
      </c>
      <c r="CT76" s="384">
        <v>-3814.0</v>
      </c>
      <c r="CU76" s="259">
        <v>-29087.0</v>
      </c>
      <c r="CV76" s="259"/>
      <c r="CW76" s="259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259"/>
      <c r="CG77" s="259"/>
      <c r="CH77" s="259"/>
      <c r="CI77" s="259"/>
      <c r="CJ77" s="259"/>
      <c r="CK77" s="259"/>
      <c r="CL77" s="259"/>
      <c r="CM77" s="259"/>
      <c r="CN77" s="259"/>
      <c r="CO77" s="259"/>
      <c r="CP77" s="259"/>
      <c r="CQ77" s="260"/>
      <c r="CR77" s="259"/>
      <c r="CS77" s="259"/>
      <c r="CT77" s="259"/>
      <c r="CU77" s="259">
        <v>48950.0</v>
      </c>
      <c r="CV77" s="259"/>
      <c r="CW77" s="259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259"/>
      <c r="CG78" s="259"/>
      <c r="CH78" s="259"/>
      <c r="CI78" s="259"/>
      <c r="CJ78" s="259"/>
      <c r="CK78" s="259"/>
      <c r="CL78" s="259"/>
      <c r="CM78" s="259"/>
      <c r="CN78" s="259"/>
      <c r="CO78" s="259"/>
      <c r="CP78" s="259"/>
      <c r="CQ78" s="260"/>
      <c r="CR78" s="259"/>
      <c r="CS78" s="259"/>
      <c r="CT78" s="259"/>
      <c r="CU78" s="259"/>
      <c r="CV78" s="259"/>
      <c r="CW78" s="259"/>
    </row>
    <row r="79">
      <c r="A79" s="264"/>
      <c r="B79" s="4" t="s">
        <v>2</v>
      </c>
      <c r="C79" s="5" t="s">
        <v>3</v>
      </c>
      <c r="D79" s="6" t="s">
        <v>4</v>
      </c>
      <c r="E79" s="7" t="s">
        <v>5</v>
      </c>
      <c r="F79" s="8" t="s">
        <v>120</v>
      </c>
      <c r="G79" s="9" t="s">
        <v>7</v>
      </c>
      <c r="H79" s="10" t="s">
        <v>8</v>
      </c>
      <c r="I79" s="9" t="s">
        <v>9</v>
      </c>
      <c r="J79" s="11" t="s">
        <v>10</v>
      </c>
      <c r="K79" s="12" t="s">
        <v>11</v>
      </c>
      <c r="L79" s="12" t="s">
        <v>12</v>
      </c>
      <c r="M79" s="13" t="s">
        <v>13</v>
      </c>
      <c r="N79" s="5" t="s">
        <v>14</v>
      </c>
      <c r="O79" s="14" t="s">
        <v>15</v>
      </c>
      <c r="P79" s="276" t="s">
        <v>16</v>
      </c>
      <c r="Q79" s="277"/>
      <c r="R79" s="264">
        <v>45962.0</v>
      </c>
      <c r="S79" s="4" t="s">
        <v>2</v>
      </c>
      <c r="T79" s="5" t="s">
        <v>3</v>
      </c>
      <c r="U79" s="6" t="s">
        <v>4</v>
      </c>
      <c r="V79" s="7" t="s">
        <v>5</v>
      </c>
      <c r="W79" s="8" t="s">
        <v>120</v>
      </c>
      <c r="X79" s="9" t="s">
        <v>7</v>
      </c>
      <c r="Y79" s="10" t="s">
        <v>8</v>
      </c>
      <c r="Z79" s="9" t="s">
        <v>9</v>
      </c>
      <c r="AA79" s="11" t="s">
        <v>10</v>
      </c>
      <c r="AB79" s="12" t="s">
        <v>11</v>
      </c>
      <c r="AC79" s="12" t="s">
        <v>12</v>
      </c>
      <c r="AD79" s="13" t="s">
        <v>13</v>
      </c>
      <c r="AE79" s="5" t="s">
        <v>14</v>
      </c>
      <c r="AF79" s="14" t="s">
        <v>15</v>
      </c>
      <c r="AG79" s="276" t="s">
        <v>16</v>
      </c>
      <c r="AH79" s="277"/>
      <c r="AI79" s="264">
        <v>45597.0</v>
      </c>
      <c r="AJ79" s="5" t="s">
        <v>2</v>
      </c>
      <c r="AK79" s="5" t="s">
        <v>3</v>
      </c>
      <c r="AL79" s="6" t="s">
        <v>4</v>
      </c>
      <c r="AM79" s="7" t="s">
        <v>5</v>
      </c>
      <c r="AN79" s="280" t="s">
        <v>103</v>
      </c>
      <c r="AO79" s="9" t="s">
        <v>7</v>
      </c>
      <c r="AP79" s="10" t="s">
        <v>105</v>
      </c>
      <c r="AQ79" s="9" t="s">
        <v>9</v>
      </c>
      <c r="AR79" s="11" t="s">
        <v>106</v>
      </c>
      <c r="AS79" s="12" t="s">
        <v>107</v>
      </c>
      <c r="AT79" s="12" t="s">
        <v>12</v>
      </c>
      <c r="AU79" s="13" t="s">
        <v>13</v>
      </c>
      <c r="AV79" s="5" t="s">
        <v>14</v>
      </c>
      <c r="AW79" s="15" t="s">
        <v>108</v>
      </c>
      <c r="AX79" s="385"/>
      <c r="AY79" s="386">
        <v>45231.0</v>
      </c>
      <c r="AZ79" s="292" t="s">
        <v>2</v>
      </c>
      <c r="BA79" s="292" t="s">
        <v>3</v>
      </c>
      <c r="BB79" s="293" t="s">
        <v>4</v>
      </c>
      <c r="BC79" s="294" t="s">
        <v>5</v>
      </c>
      <c r="BD79" s="295" t="s">
        <v>103</v>
      </c>
      <c r="BE79" s="296" t="s">
        <v>110</v>
      </c>
      <c r="BF79" s="297" t="s">
        <v>105</v>
      </c>
      <c r="BG79" s="296" t="s">
        <v>9</v>
      </c>
      <c r="BH79" s="298" t="s">
        <v>106</v>
      </c>
      <c r="BI79" s="299" t="s">
        <v>111</v>
      </c>
      <c r="BJ79" s="299" t="s">
        <v>12</v>
      </c>
      <c r="BK79" s="300" t="s">
        <v>13</v>
      </c>
      <c r="BL79" s="292" t="s">
        <v>14</v>
      </c>
      <c r="BM79" s="290" t="s">
        <v>112</v>
      </c>
      <c r="BO79" s="396"/>
      <c r="BP79" s="292" t="s">
        <v>2</v>
      </c>
      <c r="BQ79" s="292" t="s">
        <v>3</v>
      </c>
      <c r="BR79" s="293" t="s">
        <v>4</v>
      </c>
      <c r="BS79" s="294" t="s">
        <v>5</v>
      </c>
      <c r="BT79" s="295" t="s">
        <v>103</v>
      </c>
      <c r="BU79" s="296" t="s">
        <v>110</v>
      </c>
      <c r="BV79" s="297" t="s">
        <v>105</v>
      </c>
      <c r="BW79" s="296" t="s">
        <v>9</v>
      </c>
      <c r="BX79" s="298" t="s">
        <v>106</v>
      </c>
      <c r="BY79" s="299" t="s">
        <v>111</v>
      </c>
      <c r="BZ79" s="299" t="s">
        <v>12</v>
      </c>
      <c r="CA79" s="300" t="s">
        <v>13</v>
      </c>
      <c r="CB79" s="292" t="s">
        <v>14</v>
      </c>
      <c r="CC79" s="397" t="s">
        <v>108</v>
      </c>
      <c r="CD79" s="30"/>
      <c r="CE79" s="30"/>
      <c r="CF79" s="325">
        <v>44501.0</v>
      </c>
      <c r="CG79" s="327" t="s">
        <v>2</v>
      </c>
      <c r="CH79" s="327" t="s">
        <v>3</v>
      </c>
      <c r="CI79" s="327" t="s">
        <v>4</v>
      </c>
      <c r="CJ79" s="327" t="s">
        <v>113</v>
      </c>
      <c r="CK79" s="327" t="s">
        <v>123</v>
      </c>
      <c r="CL79" s="327" t="s">
        <v>114</v>
      </c>
      <c r="CM79" s="327" t="s">
        <v>122</v>
      </c>
      <c r="CN79" s="327" t="s">
        <v>115</v>
      </c>
      <c r="CO79" s="327" t="s">
        <v>9</v>
      </c>
      <c r="CP79" s="327" t="s">
        <v>97</v>
      </c>
      <c r="CQ79" s="400" t="s">
        <v>98</v>
      </c>
      <c r="CR79" s="327" t="s">
        <v>12</v>
      </c>
      <c r="CS79" s="327" t="s">
        <v>13</v>
      </c>
      <c r="CT79" s="327" t="s">
        <v>14</v>
      </c>
      <c r="CU79" s="259"/>
      <c r="CV79" s="259"/>
      <c r="CW79" s="259"/>
    </row>
    <row r="80">
      <c r="A80" s="304"/>
      <c r="B80" s="305"/>
      <c r="C80" s="305"/>
      <c r="D80" s="305"/>
      <c r="E80" s="305"/>
      <c r="F80" s="305"/>
      <c r="G80" s="305"/>
      <c r="H80" s="305"/>
      <c r="I80" s="305"/>
      <c r="J80" s="305"/>
      <c r="K80" s="305"/>
      <c r="L80" s="305"/>
      <c r="M80" s="405"/>
      <c r="N80" s="305"/>
      <c r="O80" s="305"/>
      <c r="P80" s="305"/>
      <c r="Q80" s="304"/>
      <c r="R80" s="304"/>
      <c r="S80" s="305">
        <v>34420.0</v>
      </c>
      <c r="T80" s="305">
        <v>2006.0</v>
      </c>
      <c r="U80" s="305">
        <v>4100.58</v>
      </c>
      <c r="V80" s="305">
        <v>0.0</v>
      </c>
      <c r="W80" s="305">
        <v>3000.0</v>
      </c>
      <c r="X80" s="305">
        <v>9587.0</v>
      </c>
      <c r="Y80" s="305">
        <v>24580.0</v>
      </c>
      <c r="Z80" s="305">
        <v>25994.0</v>
      </c>
      <c r="AA80" s="305">
        <v>8751.0</v>
      </c>
      <c r="AB80" s="305">
        <v>3240.0</v>
      </c>
      <c r="AC80" s="305">
        <v>0.0</v>
      </c>
      <c r="AD80" s="405">
        <v>10221.143</v>
      </c>
      <c r="AE80" s="305">
        <v>42772.0</v>
      </c>
      <c r="AF80" s="305">
        <v>1407.0</v>
      </c>
      <c r="AG80" s="305">
        <v>170078.72</v>
      </c>
      <c r="AH80" s="304"/>
      <c r="AI80" s="304" t="s">
        <v>34</v>
      </c>
      <c r="AJ80" s="406">
        <f>33645+40000</f>
        <v>73645</v>
      </c>
      <c r="AK80" s="406">
        <v>2098.0</v>
      </c>
      <c r="AL80" s="406">
        <v>1600.0</v>
      </c>
      <c r="AM80" s="406">
        <v>650.0</v>
      </c>
      <c r="AN80" s="406">
        <v>935.0</v>
      </c>
      <c r="AO80" s="406">
        <v>14519.0</v>
      </c>
      <c r="AP80" s="406">
        <v>6431.0</v>
      </c>
      <c r="AQ80" s="406">
        <v>19143.0</v>
      </c>
      <c r="AR80" s="406">
        <v>12584.0</v>
      </c>
      <c r="AS80" s="406">
        <v>2211.0</v>
      </c>
      <c r="AT80" s="406">
        <v>4981.0</v>
      </c>
      <c r="AU80" s="406">
        <v>9608.0</v>
      </c>
      <c r="AV80" s="406">
        <v>41625.0</v>
      </c>
      <c r="AW80" s="360">
        <v>150030.0</v>
      </c>
      <c r="AX80" s="304"/>
      <c r="AY80" s="304" t="s">
        <v>34</v>
      </c>
      <c r="AZ80" s="406">
        <v>9285.0</v>
      </c>
      <c r="BA80" s="406">
        <v>2099.0</v>
      </c>
      <c r="BB80" s="406">
        <v>5229.0</v>
      </c>
      <c r="BC80" s="406">
        <v>1066.0</v>
      </c>
      <c r="BD80" s="406">
        <v>2365.0</v>
      </c>
      <c r="BE80" s="406">
        <v>3300.0</v>
      </c>
      <c r="BF80" s="406">
        <v>7400.0</v>
      </c>
      <c r="BG80" s="406">
        <v>30394.0</v>
      </c>
      <c r="BH80" s="406">
        <v>4541.0</v>
      </c>
      <c r="BI80" s="406">
        <v>940.0</v>
      </c>
      <c r="BJ80" s="406">
        <v>4775.0</v>
      </c>
      <c r="BK80" s="406">
        <v>7733.0</v>
      </c>
      <c r="BL80" s="406">
        <v>13696.0</v>
      </c>
      <c r="BM80" s="20">
        <v>92323.0</v>
      </c>
      <c r="BO80" s="304" t="s">
        <v>34</v>
      </c>
      <c r="BP80" s="380">
        <v>15800.0</v>
      </c>
      <c r="BQ80" s="380">
        <v>2239.0</v>
      </c>
      <c r="BR80" s="380">
        <v>4599.0</v>
      </c>
      <c r="BS80" s="380">
        <v>992.0</v>
      </c>
      <c r="BT80" s="380">
        <v>240.0</v>
      </c>
      <c r="BU80" s="380">
        <v>8580.2</v>
      </c>
      <c r="BV80" s="380">
        <v>5000.0</v>
      </c>
      <c r="BW80" s="380">
        <v>27071.0</v>
      </c>
      <c r="BX80" s="380">
        <v>6569.0</v>
      </c>
      <c r="BY80" s="380">
        <v>4750.0</v>
      </c>
      <c r="BZ80" s="380">
        <v>7367.5</v>
      </c>
      <c r="CA80" s="380">
        <v>7328.52</v>
      </c>
      <c r="CB80" s="380">
        <v>22917.0</v>
      </c>
      <c r="CC80" s="361">
        <f t="shared" ref="CC80:CC81" si="12">SUM(BP80:CB80)</f>
        <v>113453.22</v>
      </c>
      <c r="CD80" s="30"/>
      <c r="CE80" s="30"/>
      <c r="CF80" s="256" t="s">
        <v>100</v>
      </c>
      <c r="CG80" s="256">
        <v>0.0</v>
      </c>
      <c r="CH80" s="256">
        <v>3900.0</v>
      </c>
      <c r="CI80" s="256">
        <v>3060.7</v>
      </c>
      <c r="CJ80" s="256">
        <v>965.0</v>
      </c>
      <c r="CK80" s="256">
        <v>0.0</v>
      </c>
      <c r="CL80" s="256">
        <v>0.0</v>
      </c>
      <c r="CM80" s="256">
        <v>19657.72</v>
      </c>
      <c r="CN80" s="256">
        <v>4213.0</v>
      </c>
      <c r="CO80" s="256">
        <v>12386.0</v>
      </c>
      <c r="CP80" s="256">
        <v>2980.0</v>
      </c>
      <c r="CQ80" s="257">
        <v>1274.0</v>
      </c>
      <c r="CR80" s="256">
        <v>5093.457</v>
      </c>
      <c r="CS80" s="256">
        <v>500.0</v>
      </c>
      <c r="CT80" s="256">
        <v>7556.0</v>
      </c>
      <c r="CU80" s="259">
        <v>61585.877</v>
      </c>
      <c r="CV80" s="259"/>
      <c r="CW80" s="259"/>
    </row>
    <row r="81">
      <c r="A81" s="304"/>
      <c r="B81" s="314"/>
      <c r="C81" s="306"/>
      <c r="D81" s="306"/>
      <c r="E81" s="306"/>
      <c r="F81" s="306"/>
      <c r="G81" s="314"/>
      <c r="H81" s="314"/>
      <c r="I81" s="314"/>
      <c r="J81" s="314"/>
      <c r="K81" s="306"/>
      <c r="L81" s="306"/>
      <c r="M81" s="405"/>
      <c r="N81" s="314"/>
      <c r="O81" s="305"/>
      <c r="P81" s="315"/>
      <c r="Q81" s="304"/>
      <c r="R81" s="304"/>
      <c r="S81" s="314">
        <v>-9420.0</v>
      </c>
      <c r="T81" s="306">
        <v>494.0</v>
      </c>
      <c r="U81" s="306">
        <v>899.4200000000001</v>
      </c>
      <c r="V81" s="306">
        <v>800.0</v>
      </c>
      <c r="W81" s="306">
        <v>1500.0</v>
      </c>
      <c r="X81" s="314">
        <v>-4587.0</v>
      </c>
      <c r="Y81" s="314">
        <v>-17580.0</v>
      </c>
      <c r="Z81" s="314">
        <v>-10994.0</v>
      </c>
      <c r="AA81" s="314">
        <v>-1751.0</v>
      </c>
      <c r="AB81" s="306">
        <v>760.0</v>
      </c>
      <c r="AC81" s="306">
        <v>5000.0</v>
      </c>
      <c r="AD81" s="405">
        <v>10221.143</v>
      </c>
      <c r="AE81" s="314">
        <v>-36772.0</v>
      </c>
      <c r="AF81" s="305">
        <v>2593.0</v>
      </c>
      <c r="AG81" s="315">
        <v>-71278.72</v>
      </c>
      <c r="AH81" s="304"/>
      <c r="AI81" s="304" t="s">
        <v>119</v>
      </c>
      <c r="AJ81" s="316">
        <v>-23645.0</v>
      </c>
      <c r="AK81" s="316">
        <v>-598.0</v>
      </c>
      <c r="AL81" s="316">
        <v>2400.0</v>
      </c>
      <c r="AM81" s="362">
        <v>350.0</v>
      </c>
      <c r="AN81" s="362">
        <v>2065.0</v>
      </c>
      <c r="AO81" s="316">
        <v>-9519.0</v>
      </c>
      <c r="AP81" s="316">
        <v>-431.0</v>
      </c>
      <c r="AQ81" s="316">
        <v>-4143.0</v>
      </c>
      <c r="AR81" s="316">
        <v>-4584.0</v>
      </c>
      <c r="AS81" s="362">
        <v>789.0</v>
      </c>
      <c r="AT81" s="362">
        <v>19.0</v>
      </c>
      <c r="AU81" s="316">
        <v>-2808.0</v>
      </c>
      <c r="AV81" s="316">
        <v>-38625.0</v>
      </c>
      <c r="AW81" s="316">
        <v>-78730.0</v>
      </c>
      <c r="AX81" s="304"/>
      <c r="AY81" s="304" t="s">
        <v>119</v>
      </c>
      <c r="AZ81" s="407">
        <v>-6285.0</v>
      </c>
      <c r="BA81" s="408">
        <v>101.0</v>
      </c>
      <c r="BB81" s="407">
        <v>-1229.0</v>
      </c>
      <c r="BC81" s="408">
        <v>-66.0</v>
      </c>
      <c r="BD81" s="408">
        <v>635.0</v>
      </c>
      <c r="BE81" s="408">
        <v>0.0</v>
      </c>
      <c r="BF81" s="407">
        <v>-1400.0</v>
      </c>
      <c r="BG81" s="407">
        <v>-13394.0</v>
      </c>
      <c r="BH81" s="407">
        <v>-1541.0</v>
      </c>
      <c r="BI81" s="408">
        <v>6660.0</v>
      </c>
      <c r="BJ81" s="408">
        <v>226.0</v>
      </c>
      <c r="BK81" s="407">
        <v>-933.0</v>
      </c>
      <c r="BL81" s="407">
        <v>-10696.0</v>
      </c>
      <c r="BM81" s="362">
        <f>SUM(AZ81:BL81)</f>
        <v>-27922</v>
      </c>
      <c r="BO81" s="304" t="s">
        <v>119</v>
      </c>
      <c r="BP81" s="403">
        <v>-12800.0</v>
      </c>
      <c r="BQ81" s="381">
        <v>-39.0</v>
      </c>
      <c r="BR81" s="403">
        <v>-599.0</v>
      </c>
      <c r="BS81" s="381">
        <v>8.0</v>
      </c>
      <c r="BT81" s="381">
        <v>2760.0</v>
      </c>
      <c r="BU81" s="381">
        <v>0.0</v>
      </c>
      <c r="BV81" s="381">
        <v>1000.0</v>
      </c>
      <c r="BW81" s="403">
        <v>-15071.0</v>
      </c>
      <c r="BX81" s="403">
        <v>-1569.0</v>
      </c>
      <c r="BY81" s="381">
        <v>2250.0</v>
      </c>
      <c r="BZ81" s="403">
        <v>-1367.5</v>
      </c>
      <c r="CA81" s="381">
        <v>71.47999999999956</v>
      </c>
      <c r="CB81" s="403">
        <v>-19917.0</v>
      </c>
      <c r="CC81" s="363">
        <f t="shared" si="12"/>
        <v>-45273.02</v>
      </c>
      <c r="CD81" s="30"/>
      <c r="CE81" s="30"/>
      <c r="CF81" s="256" t="s">
        <v>102</v>
      </c>
      <c r="CG81" s="259">
        <v>3000.0</v>
      </c>
      <c r="CH81" s="384">
        <v>-1900.0</v>
      </c>
      <c r="CI81" s="259">
        <v>939.3000000000002</v>
      </c>
      <c r="CJ81" s="259">
        <v>35.0</v>
      </c>
      <c r="CK81" s="259">
        <v>4000.0</v>
      </c>
      <c r="CL81" s="259">
        <v>0.0</v>
      </c>
      <c r="CM81" s="259">
        <v>0.0</v>
      </c>
      <c r="CN81" s="259">
        <v>787.0</v>
      </c>
      <c r="CO81" s="384">
        <v>-386.0</v>
      </c>
      <c r="CP81" s="384">
        <v>-1980.0</v>
      </c>
      <c r="CQ81" s="404">
        <v>-274.0</v>
      </c>
      <c r="CR81" s="259">
        <v>1506.5429999999997</v>
      </c>
      <c r="CS81" s="259">
        <v>0.0</v>
      </c>
      <c r="CT81" s="384">
        <v>-4556.0</v>
      </c>
      <c r="CU81" s="259">
        <v>1171.8429999999998</v>
      </c>
      <c r="CV81" s="259"/>
      <c r="CW81" s="259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259"/>
      <c r="CG82" s="259"/>
      <c r="CH82" s="259"/>
      <c r="CI82" s="259"/>
      <c r="CJ82" s="259"/>
      <c r="CK82" s="259"/>
      <c r="CL82" s="259"/>
      <c r="CM82" s="259"/>
      <c r="CN82" s="259"/>
      <c r="CO82" s="259"/>
      <c r="CP82" s="259"/>
      <c r="CQ82" s="260"/>
      <c r="CR82" s="259"/>
      <c r="CS82" s="259"/>
      <c r="CT82" s="259"/>
      <c r="CU82" s="259">
        <v>62757.72</v>
      </c>
      <c r="CV82" s="259"/>
      <c r="CW82" s="259"/>
    </row>
    <row r="83">
      <c r="A83" s="264"/>
      <c r="B83" s="4" t="s">
        <v>2</v>
      </c>
      <c r="C83" s="5" t="s">
        <v>3</v>
      </c>
      <c r="D83" s="6" t="s">
        <v>4</v>
      </c>
      <c r="E83" s="7" t="s">
        <v>5</v>
      </c>
      <c r="F83" s="8" t="s">
        <v>120</v>
      </c>
      <c r="G83" s="9" t="s">
        <v>7</v>
      </c>
      <c r="H83" s="10" t="s">
        <v>8</v>
      </c>
      <c r="I83" s="9" t="s">
        <v>9</v>
      </c>
      <c r="J83" s="11" t="s">
        <v>10</v>
      </c>
      <c r="K83" s="12" t="s">
        <v>11</v>
      </c>
      <c r="L83" s="12" t="s">
        <v>12</v>
      </c>
      <c r="M83" s="13" t="s">
        <v>13</v>
      </c>
      <c r="N83" s="5" t="s">
        <v>14</v>
      </c>
      <c r="O83" s="14" t="s">
        <v>15</v>
      </c>
      <c r="P83" s="276" t="s">
        <v>16</v>
      </c>
      <c r="Q83" s="277"/>
      <c r="R83" s="264">
        <v>45992.0</v>
      </c>
      <c r="S83" s="4" t="s">
        <v>2</v>
      </c>
      <c r="T83" s="5" t="s">
        <v>3</v>
      </c>
      <c r="U83" s="6" t="s">
        <v>4</v>
      </c>
      <c r="V83" s="7" t="s">
        <v>5</v>
      </c>
      <c r="W83" s="8" t="s">
        <v>120</v>
      </c>
      <c r="X83" s="9" t="s">
        <v>7</v>
      </c>
      <c r="Y83" s="10" t="s">
        <v>8</v>
      </c>
      <c r="Z83" s="9" t="s">
        <v>9</v>
      </c>
      <c r="AA83" s="11" t="s">
        <v>10</v>
      </c>
      <c r="AB83" s="12" t="s">
        <v>11</v>
      </c>
      <c r="AC83" s="12" t="s">
        <v>12</v>
      </c>
      <c r="AD83" s="13" t="s">
        <v>13</v>
      </c>
      <c r="AE83" s="5" t="s">
        <v>14</v>
      </c>
      <c r="AF83" s="14" t="s">
        <v>15</v>
      </c>
      <c r="AG83" s="276" t="s">
        <v>16</v>
      </c>
      <c r="AH83" s="277"/>
      <c r="AI83" s="264">
        <v>45627.0</v>
      </c>
      <c r="AJ83" s="5" t="s">
        <v>2</v>
      </c>
      <c r="AK83" s="5" t="s">
        <v>3</v>
      </c>
      <c r="AL83" s="6" t="s">
        <v>4</v>
      </c>
      <c r="AM83" s="7" t="s">
        <v>5</v>
      </c>
      <c r="AN83" s="280" t="s">
        <v>103</v>
      </c>
      <c r="AO83" s="9" t="s">
        <v>7</v>
      </c>
      <c r="AP83" s="10" t="s">
        <v>105</v>
      </c>
      <c r="AQ83" s="9" t="s">
        <v>9</v>
      </c>
      <c r="AR83" s="11" t="s">
        <v>106</v>
      </c>
      <c r="AS83" s="12" t="s">
        <v>107</v>
      </c>
      <c r="AT83" s="12" t="s">
        <v>12</v>
      </c>
      <c r="AU83" s="13" t="s">
        <v>13</v>
      </c>
      <c r="AV83" s="5" t="s">
        <v>14</v>
      </c>
      <c r="AW83" s="15" t="s">
        <v>108</v>
      </c>
      <c r="AX83" s="385"/>
      <c r="AY83" s="386">
        <v>45261.0</v>
      </c>
      <c r="AZ83" s="292" t="s">
        <v>2</v>
      </c>
      <c r="BA83" s="292" t="s">
        <v>3</v>
      </c>
      <c r="BB83" s="293" t="s">
        <v>4</v>
      </c>
      <c r="BC83" s="294" t="s">
        <v>5</v>
      </c>
      <c r="BD83" s="295" t="s">
        <v>103</v>
      </c>
      <c r="BE83" s="296" t="s">
        <v>93</v>
      </c>
      <c r="BF83" s="297" t="s">
        <v>115</v>
      </c>
      <c r="BG83" s="296" t="s">
        <v>9</v>
      </c>
      <c r="BH83" s="298" t="s">
        <v>97</v>
      </c>
      <c r="BI83" s="299" t="s">
        <v>98</v>
      </c>
      <c r="BJ83" s="299" t="s">
        <v>12</v>
      </c>
      <c r="BK83" s="300" t="s">
        <v>13</v>
      </c>
      <c r="BL83" s="292" t="s">
        <v>14</v>
      </c>
      <c r="BM83" s="290" t="s">
        <v>112</v>
      </c>
      <c r="BO83" s="287"/>
      <c r="BP83" s="281" t="s">
        <v>2</v>
      </c>
      <c r="BQ83" s="281" t="s">
        <v>3</v>
      </c>
      <c r="BR83" s="282" t="s">
        <v>4</v>
      </c>
      <c r="BS83" s="283" t="s">
        <v>5</v>
      </c>
      <c r="BT83" s="284" t="s">
        <v>103</v>
      </c>
      <c r="BU83" s="285" t="s">
        <v>110</v>
      </c>
      <c r="BV83" s="286" t="s">
        <v>105</v>
      </c>
      <c r="BW83" s="285" t="s">
        <v>9</v>
      </c>
      <c r="BX83" s="287" t="s">
        <v>106</v>
      </c>
      <c r="BY83" s="288" t="s">
        <v>111</v>
      </c>
      <c r="BZ83" s="288" t="s">
        <v>12</v>
      </c>
      <c r="CA83" s="289" t="s">
        <v>13</v>
      </c>
      <c r="CB83" s="281" t="s">
        <v>14</v>
      </c>
      <c r="CC83" s="290" t="s">
        <v>108</v>
      </c>
      <c r="CD83" s="30"/>
      <c r="CE83" s="30"/>
      <c r="CF83" s="325">
        <v>44531.0</v>
      </c>
      <c r="CG83" s="327" t="s">
        <v>2</v>
      </c>
      <c r="CH83" s="327" t="s">
        <v>3</v>
      </c>
      <c r="CI83" s="327" t="s">
        <v>4</v>
      </c>
      <c r="CJ83" s="327" t="s">
        <v>113</v>
      </c>
      <c r="CK83" s="327" t="s">
        <v>123</v>
      </c>
      <c r="CL83" s="327" t="s">
        <v>114</v>
      </c>
      <c r="CM83" s="327" t="s">
        <v>93</v>
      </c>
      <c r="CN83" s="327" t="s">
        <v>115</v>
      </c>
      <c r="CO83" s="327" t="s">
        <v>9</v>
      </c>
      <c r="CP83" s="327" t="s">
        <v>97</v>
      </c>
      <c r="CQ83" s="400" t="s">
        <v>98</v>
      </c>
      <c r="CR83" s="327" t="s">
        <v>12</v>
      </c>
      <c r="CS83" s="327" t="s">
        <v>13</v>
      </c>
      <c r="CT83" s="327" t="s">
        <v>14</v>
      </c>
      <c r="CU83" s="259"/>
      <c r="CV83" s="259"/>
      <c r="CW83" s="259"/>
    </row>
    <row r="84">
      <c r="A84" s="304"/>
      <c r="B84" s="305"/>
      <c r="C84" s="305"/>
      <c r="D84" s="305"/>
      <c r="E84" s="305"/>
      <c r="F84" s="305"/>
      <c r="G84" s="305"/>
      <c r="H84" s="305"/>
      <c r="I84" s="305"/>
      <c r="J84" s="305"/>
      <c r="K84" s="305"/>
      <c r="L84" s="305"/>
      <c r="M84" s="305"/>
      <c r="N84" s="305"/>
      <c r="O84" s="305"/>
      <c r="P84" s="306"/>
      <c r="Q84" s="304"/>
      <c r="R84" s="304"/>
      <c r="S84" s="305">
        <v>23600.0</v>
      </c>
      <c r="T84" s="305">
        <v>1900.0</v>
      </c>
      <c r="U84" s="305">
        <v>4100.0</v>
      </c>
      <c r="V84" s="305">
        <v>0.0</v>
      </c>
      <c r="W84" s="305">
        <v>14328.0</v>
      </c>
      <c r="X84" s="305">
        <v>11195.0</v>
      </c>
      <c r="Y84" s="305">
        <v>6240.0</v>
      </c>
      <c r="Z84" s="305">
        <v>32270.0</v>
      </c>
      <c r="AA84" s="305">
        <v>9990.0</v>
      </c>
      <c r="AB84" s="305">
        <v>3950.0</v>
      </c>
      <c r="AC84" s="305">
        <v>9715.82</v>
      </c>
      <c r="AD84" s="305">
        <v>9349.83</v>
      </c>
      <c r="AE84" s="305">
        <v>53501.0</v>
      </c>
      <c r="AF84" s="305">
        <v>3400.0</v>
      </c>
      <c r="AG84" s="306">
        <v>159939.65000000002</v>
      </c>
      <c r="AH84" s="304"/>
      <c r="AI84" s="304" t="s">
        <v>34</v>
      </c>
      <c r="AJ84" s="378">
        <v>37608.0</v>
      </c>
      <c r="AK84" s="378">
        <v>11129.0</v>
      </c>
      <c r="AL84" s="378">
        <v>1281.41</v>
      </c>
      <c r="AM84" s="378">
        <v>510.0</v>
      </c>
      <c r="AN84" s="378">
        <v>285.0</v>
      </c>
      <c r="AO84" s="378">
        <v>5481.0</v>
      </c>
      <c r="AP84" s="378">
        <v>6829.0</v>
      </c>
      <c r="AQ84" s="378">
        <v>18026.0</v>
      </c>
      <c r="AR84" s="378">
        <v>17435.0</v>
      </c>
      <c r="AS84" s="378">
        <v>750.0</v>
      </c>
      <c r="AT84" s="378">
        <v>5874.297999999999</v>
      </c>
      <c r="AU84" s="378">
        <v>5000.0</v>
      </c>
      <c r="AV84" s="378">
        <v>27955.0</v>
      </c>
      <c r="AW84" s="379">
        <v>138163.70799999998</v>
      </c>
      <c r="AX84" s="304"/>
      <c r="AY84" s="304" t="s">
        <v>34</v>
      </c>
      <c r="AZ84" s="378">
        <v>18600.0</v>
      </c>
      <c r="BA84" s="378">
        <v>2124.0</v>
      </c>
      <c r="BB84" s="378">
        <v>5348.0</v>
      </c>
      <c r="BC84" s="378">
        <v>0.0</v>
      </c>
      <c r="BD84" s="378">
        <v>10360.0</v>
      </c>
      <c r="BE84" s="378">
        <v>3300.0</v>
      </c>
      <c r="BF84" s="378">
        <v>8850.0</v>
      </c>
      <c r="BG84" s="378">
        <v>34422.0</v>
      </c>
      <c r="BH84" s="378">
        <v>4922.0</v>
      </c>
      <c r="BI84" s="378">
        <v>4838.0</v>
      </c>
      <c r="BJ84" s="378">
        <v>4973.8</v>
      </c>
      <c r="BK84" s="378">
        <v>6523.0</v>
      </c>
      <c r="BL84" s="378">
        <v>24519.0</v>
      </c>
      <c r="BM84" s="379">
        <v>128779.8</v>
      </c>
      <c r="BO84" s="304" t="s">
        <v>34</v>
      </c>
      <c r="BP84" s="380">
        <v>6475.0</v>
      </c>
      <c r="BQ84" s="380">
        <v>2099.0</v>
      </c>
      <c r="BR84" s="380">
        <v>4867.0</v>
      </c>
      <c r="BS84" s="380">
        <v>650.0</v>
      </c>
      <c r="BT84" s="380">
        <v>600.0</v>
      </c>
      <c r="BU84" s="380">
        <v>8580.0</v>
      </c>
      <c r="BV84" s="380">
        <v>3650.0</v>
      </c>
      <c r="BW84" s="380">
        <v>24525.0</v>
      </c>
      <c r="BX84" s="380">
        <v>2456.0</v>
      </c>
      <c r="BY84" s="380">
        <v>5029.0</v>
      </c>
      <c r="BZ84" s="380">
        <v>4850.0</v>
      </c>
      <c r="CA84" s="380">
        <v>7833.0</v>
      </c>
      <c r="CB84" s="380">
        <v>11083.0</v>
      </c>
      <c r="CC84" s="380">
        <v>82697.0</v>
      </c>
      <c r="CD84" s="30"/>
      <c r="CE84" s="30"/>
      <c r="CF84" s="256" t="s">
        <v>100</v>
      </c>
      <c r="CG84" s="256">
        <v>0.0</v>
      </c>
      <c r="CH84" s="256">
        <v>1116.0</v>
      </c>
      <c r="CI84" s="256">
        <v>3432.0</v>
      </c>
      <c r="CJ84" s="256">
        <v>960.0</v>
      </c>
      <c r="CK84" s="256">
        <v>4560.0</v>
      </c>
      <c r="CL84" s="256">
        <v>0.0</v>
      </c>
      <c r="CM84" s="256">
        <v>0.0</v>
      </c>
      <c r="CN84" s="256">
        <v>4030.0</v>
      </c>
      <c r="CO84" s="256">
        <v>19785.0</v>
      </c>
      <c r="CP84" s="256">
        <v>600.0</v>
      </c>
      <c r="CQ84" s="257">
        <v>100.0</v>
      </c>
      <c r="CR84" s="256">
        <v>4938.0</v>
      </c>
      <c r="CS84" s="256">
        <v>0.0</v>
      </c>
      <c r="CT84" s="256">
        <v>3538.0</v>
      </c>
      <c r="CU84" s="259">
        <v>43059.0</v>
      </c>
      <c r="CV84" s="259"/>
      <c r="CW84" s="259"/>
    </row>
    <row r="85">
      <c r="A85" s="304"/>
      <c r="B85" s="306"/>
      <c r="C85" s="306"/>
      <c r="D85" s="306"/>
      <c r="E85" s="306"/>
      <c r="F85" s="306"/>
      <c r="G85" s="314"/>
      <c r="H85" s="306"/>
      <c r="I85" s="314"/>
      <c r="J85" s="314"/>
      <c r="K85" s="306"/>
      <c r="L85" s="306"/>
      <c r="M85" s="314"/>
      <c r="N85" s="314"/>
      <c r="O85" s="305"/>
      <c r="P85" s="314"/>
      <c r="Q85" s="304"/>
      <c r="R85" s="304"/>
      <c r="S85" s="306">
        <v>1400.0</v>
      </c>
      <c r="T85" s="306">
        <v>600.0</v>
      </c>
      <c r="U85" s="306">
        <v>900.0</v>
      </c>
      <c r="V85" s="306">
        <v>800.0</v>
      </c>
      <c r="W85" s="306">
        <v>-9828.0</v>
      </c>
      <c r="X85" s="314">
        <v>-6195.0</v>
      </c>
      <c r="Y85" s="306">
        <v>760.0</v>
      </c>
      <c r="Z85" s="314">
        <v>-17270.0</v>
      </c>
      <c r="AA85" s="314">
        <v>-2990.0</v>
      </c>
      <c r="AB85" s="306">
        <v>50.0</v>
      </c>
      <c r="AC85" s="306">
        <v>-4715.82</v>
      </c>
      <c r="AD85" s="314">
        <v>-1349.83</v>
      </c>
      <c r="AE85" s="314">
        <v>-47501.0</v>
      </c>
      <c r="AF85" s="305">
        <v>600.0</v>
      </c>
      <c r="AG85" s="314">
        <v>-84739.65</v>
      </c>
      <c r="AH85" s="304"/>
      <c r="AI85" s="304" t="s">
        <v>119</v>
      </c>
      <c r="AJ85" s="382">
        <v>-12608.0</v>
      </c>
      <c r="AK85" s="379">
        <v>-8629.0</v>
      </c>
      <c r="AL85" s="379">
        <v>3718.59</v>
      </c>
      <c r="AM85" s="379">
        <v>290.0</v>
      </c>
      <c r="AN85" s="382">
        <v>2715.0</v>
      </c>
      <c r="AO85" s="379">
        <v>-481.0</v>
      </c>
      <c r="AP85" s="382">
        <v>-829.0</v>
      </c>
      <c r="AQ85" s="382">
        <v>-3026.0</v>
      </c>
      <c r="AR85" s="382">
        <v>-9435.0</v>
      </c>
      <c r="AS85" s="379">
        <v>2250.0</v>
      </c>
      <c r="AT85" s="379">
        <v>-874.2979999999989</v>
      </c>
      <c r="AU85" s="379">
        <v>1800.0</v>
      </c>
      <c r="AV85" s="382">
        <v>-24955.0</v>
      </c>
      <c r="AW85" s="382">
        <v>-50063.708</v>
      </c>
      <c r="AX85" s="304"/>
      <c r="AY85" s="304" t="s">
        <v>119</v>
      </c>
      <c r="AZ85" s="382">
        <v>-15600.0</v>
      </c>
      <c r="BA85" s="379">
        <v>76.0</v>
      </c>
      <c r="BB85" s="379">
        <v>152.0</v>
      </c>
      <c r="BC85" s="379">
        <v>1000.0</v>
      </c>
      <c r="BD85" s="382">
        <v>-7360.0</v>
      </c>
      <c r="BE85" s="379">
        <v>0.0</v>
      </c>
      <c r="BF85" s="382">
        <v>-2850.0</v>
      </c>
      <c r="BG85" s="382">
        <v>-17422.0</v>
      </c>
      <c r="BH85" s="382">
        <v>-1922.0</v>
      </c>
      <c r="BI85" s="379">
        <v>162.0</v>
      </c>
      <c r="BJ85" s="379">
        <v>526.1999999999998</v>
      </c>
      <c r="BK85" s="379">
        <v>277.0</v>
      </c>
      <c r="BL85" s="382">
        <v>-21519.0</v>
      </c>
      <c r="BM85" s="382">
        <v>-64479.8</v>
      </c>
      <c r="BO85" s="304" t="s">
        <v>119</v>
      </c>
      <c r="BP85" s="409">
        <v>-3475.0</v>
      </c>
      <c r="BQ85" s="380">
        <v>101.0</v>
      </c>
      <c r="BR85" s="409">
        <v>-867.0</v>
      </c>
      <c r="BS85" s="380">
        <v>350.0</v>
      </c>
      <c r="BT85" s="380">
        <v>2400.0</v>
      </c>
      <c r="BU85" s="380">
        <v>0.0</v>
      </c>
      <c r="BV85" s="380">
        <v>2350.0</v>
      </c>
      <c r="BW85" s="409">
        <v>-9525.0</v>
      </c>
      <c r="BX85" s="380">
        <v>2544.0</v>
      </c>
      <c r="BY85" s="380">
        <v>1971.0</v>
      </c>
      <c r="BZ85" s="380">
        <v>650.0</v>
      </c>
      <c r="CA85" s="409">
        <v>-433.0</v>
      </c>
      <c r="CB85" s="409">
        <v>-8083.0</v>
      </c>
      <c r="CC85" s="399">
        <v>-12017.0</v>
      </c>
      <c r="CD85" s="30"/>
      <c r="CE85" s="30"/>
      <c r="CF85" s="256" t="s">
        <v>102</v>
      </c>
      <c r="CG85" s="259">
        <v>3000.0</v>
      </c>
      <c r="CH85" s="259">
        <v>983.0</v>
      </c>
      <c r="CI85" s="259">
        <v>568.0</v>
      </c>
      <c r="CJ85" s="259">
        <v>40.0</v>
      </c>
      <c r="CK85" s="384">
        <v>-560.0</v>
      </c>
      <c r="CL85" s="259">
        <v>0.0</v>
      </c>
      <c r="CM85" s="259">
        <v>1300.0</v>
      </c>
      <c r="CN85" s="259">
        <v>970.0</v>
      </c>
      <c r="CO85" s="384">
        <v>-7785.0</v>
      </c>
      <c r="CP85" s="259">
        <v>400.0</v>
      </c>
      <c r="CQ85" s="260">
        <v>900.0</v>
      </c>
      <c r="CR85" s="384">
        <v>-1238.0</v>
      </c>
      <c r="CS85" s="259">
        <v>500.0</v>
      </c>
      <c r="CT85" s="384">
        <v>-538.0</v>
      </c>
      <c r="CU85" s="259">
        <v>-1460.0</v>
      </c>
      <c r="CV85" s="259"/>
      <c r="CW85" s="259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259"/>
      <c r="BP86" s="259"/>
      <c r="BQ86" s="259"/>
      <c r="BR86" s="259"/>
      <c r="BS86" s="259"/>
      <c r="BT86" s="259"/>
      <c r="BU86" s="259"/>
      <c r="BV86" s="259"/>
      <c r="BW86" s="259"/>
      <c r="BX86" s="259"/>
      <c r="BY86" s="259"/>
      <c r="BZ86" s="260"/>
      <c r="CA86" s="259"/>
      <c r="CB86" s="259"/>
      <c r="CC86" s="259"/>
      <c r="CD86" s="259"/>
      <c r="CE86" s="259"/>
      <c r="CF86" s="259"/>
      <c r="CG86" s="259"/>
      <c r="CH86" s="259"/>
      <c r="CI86" s="259"/>
      <c r="CJ86" s="259"/>
      <c r="CK86" s="259"/>
      <c r="CL86" s="259"/>
      <c r="CM86" s="259"/>
      <c r="CN86" s="259"/>
      <c r="CO86" s="259"/>
      <c r="CP86" s="259"/>
      <c r="CQ86" s="259"/>
      <c r="CR86" s="259"/>
      <c r="CS86" s="259"/>
      <c r="CT86" s="259"/>
      <c r="CU86" s="259"/>
      <c r="CV86" s="259"/>
      <c r="CW86" s="259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259"/>
      <c r="BP87" s="259"/>
      <c r="BQ87" s="259"/>
      <c r="BR87" s="259"/>
      <c r="BS87" s="259"/>
      <c r="BT87" s="259"/>
      <c r="BU87" s="259"/>
      <c r="BV87" s="259"/>
      <c r="BW87" s="259"/>
      <c r="BX87" s="259"/>
      <c r="BY87" s="259"/>
      <c r="BZ87" s="260"/>
      <c r="CA87" s="259"/>
      <c r="CB87" s="259"/>
      <c r="CC87" s="259"/>
      <c r="CD87" s="259"/>
      <c r="CE87" s="259"/>
      <c r="CF87" s="259"/>
      <c r="CG87" s="259"/>
      <c r="CH87" s="259"/>
      <c r="CI87" s="259"/>
      <c r="CJ87" s="259"/>
      <c r="CK87" s="259"/>
      <c r="CL87" s="259"/>
      <c r="CM87" s="259"/>
      <c r="CN87" s="259"/>
      <c r="CO87" s="259"/>
      <c r="CP87" s="259"/>
      <c r="CQ87" s="259"/>
      <c r="CR87" s="259"/>
      <c r="CS87" s="259"/>
      <c r="CT87" s="259"/>
      <c r="CU87" s="259"/>
      <c r="CV87" s="259"/>
      <c r="CW87" s="259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 t="s">
        <v>124</v>
      </c>
      <c r="AZ88" s="410"/>
      <c r="BA88" s="410"/>
      <c r="BB88" s="410"/>
      <c r="BC88" s="410"/>
      <c r="BD88" s="410"/>
      <c r="BE88" s="410"/>
      <c r="BF88" s="30"/>
      <c r="BG88" s="30"/>
      <c r="BH88" s="30"/>
      <c r="BI88" s="30"/>
      <c r="BJ88" s="30"/>
      <c r="BK88" s="30"/>
      <c r="BL88" s="30"/>
      <c r="BM88" s="30"/>
      <c r="BN88" s="30"/>
      <c r="BO88" s="259"/>
      <c r="BP88" s="259"/>
      <c r="BQ88" s="259"/>
      <c r="BR88" s="259"/>
      <c r="BS88" s="259"/>
      <c r="BT88" s="259"/>
      <c r="BU88" s="259"/>
      <c r="BV88" s="259"/>
      <c r="BW88" s="259"/>
      <c r="BX88" s="259"/>
      <c r="BY88" s="259"/>
      <c r="BZ88" s="260"/>
      <c r="CA88" s="259"/>
      <c r="CB88" s="259"/>
      <c r="CC88" s="259"/>
      <c r="CD88" s="259"/>
      <c r="CE88" s="259"/>
      <c r="CF88" s="259"/>
      <c r="CG88" s="259"/>
      <c r="CH88" s="259"/>
      <c r="CI88" s="259"/>
      <c r="CJ88" s="259"/>
      <c r="CK88" s="259"/>
      <c r="CL88" s="259"/>
      <c r="CM88" s="259"/>
      <c r="CN88" s="259"/>
      <c r="CO88" s="259"/>
      <c r="CP88" s="259"/>
      <c r="CQ88" s="259"/>
      <c r="CR88" s="259"/>
      <c r="CS88" s="259"/>
      <c r="CT88" s="259"/>
      <c r="CU88" s="259"/>
      <c r="CV88" s="259"/>
      <c r="CW88" s="259"/>
    </row>
    <row r="89">
      <c r="A89" s="411"/>
      <c r="B89" s="411"/>
      <c r="C89" s="411"/>
      <c r="D89" s="411"/>
      <c r="E89" s="411"/>
      <c r="F89" s="411"/>
      <c r="G89" s="411"/>
      <c r="H89" s="411"/>
      <c r="I89" s="411"/>
      <c r="J89" s="411"/>
      <c r="K89" s="411"/>
      <c r="L89" s="411"/>
      <c r="M89" s="411"/>
      <c r="N89" s="411"/>
      <c r="O89" s="411"/>
      <c r="P89" s="411"/>
      <c r="Q89" s="411"/>
      <c r="R89" s="411"/>
      <c r="S89" s="411"/>
      <c r="T89" s="411"/>
      <c r="U89" s="411"/>
      <c r="V89" s="411"/>
      <c r="W89" s="411"/>
      <c r="X89" s="411"/>
      <c r="Y89" s="411"/>
      <c r="Z89" s="411"/>
      <c r="AA89" s="411"/>
      <c r="AB89" s="411"/>
      <c r="AC89" s="411"/>
      <c r="AD89" s="411"/>
      <c r="AE89" s="411"/>
      <c r="AF89" s="411"/>
      <c r="AG89" s="411"/>
      <c r="AH89" s="411"/>
      <c r="AI89" s="411"/>
      <c r="AJ89" s="411"/>
      <c r="AK89" s="411"/>
      <c r="AL89" s="411"/>
      <c r="AM89" s="411"/>
      <c r="AN89" s="411"/>
      <c r="AO89" s="411"/>
      <c r="AP89" s="411"/>
      <c r="AQ89" s="411"/>
      <c r="AR89" s="411"/>
      <c r="AS89" s="411"/>
      <c r="AT89" s="411"/>
      <c r="AU89" s="411"/>
      <c r="AV89" s="411"/>
      <c r="AW89" s="411"/>
      <c r="AX89" s="411"/>
      <c r="AY89" s="411"/>
      <c r="AZ89" s="34">
        <v>1500.0</v>
      </c>
      <c r="BA89" s="34" t="s">
        <v>125</v>
      </c>
      <c r="BB89" s="411"/>
      <c r="BC89" s="411"/>
      <c r="BD89" s="34">
        <v>35300.0</v>
      </c>
      <c r="BE89" s="34" t="s">
        <v>126</v>
      </c>
      <c r="BF89" s="30"/>
      <c r="BG89" s="30"/>
      <c r="BH89" s="30"/>
      <c r="BI89" s="30"/>
      <c r="BJ89" s="30"/>
      <c r="BK89" s="30"/>
      <c r="BL89" s="30"/>
      <c r="BM89" s="30"/>
      <c r="BN89" s="30"/>
      <c r="BO89" s="259"/>
      <c r="BP89" s="259"/>
      <c r="BQ89" s="259"/>
      <c r="BR89" s="259"/>
      <c r="BS89" s="259"/>
      <c r="BT89" s="259"/>
      <c r="BU89" s="259"/>
      <c r="BV89" s="259"/>
      <c r="BW89" s="259"/>
      <c r="BX89" s="259"/>
      <c r="BY89" s="259"/>
      <c r="BZ89" s="260"/>
      <c r="CA89" s="259"/>
      <c r="CB89" s="259"/>
      <c r="CC89" s="259"/>
      <c r="CD89" s="259"/>
      <c r="CE89" s="259"/>
      <c r="CF89" s="259"/>
      <c r="CG89" s="259"/>
      <c r="CH89" s="259"/>
      <c r="CI89" s="259"/>
      <c r="CJ89" s="259"/>
      <c r="CK89" s="259"/>
      <c r="CL89" s="259"/>
      <c r="CM89" s="259"/>
      <c r="CN89" s="259"/>
      <c r="CO89" s="259"/>
      <c r="CP89" s="259"/>
      <c r="CQ89" s="259"/>
      <c r="CR89" s="259"/>
      <c r="CS89" s="259"/>
      <c r="CT89" s="259"/>
      <c r="CU89" s="259"/>
      <c r="CV89" s="259"/>
      <c r="CW89" s="259"/>
    </row>
    <row r="90">
      <c r="A90" s="411"/>
      <c r="B90" s="411"/>
      <c r="C90" s="411"/>
      <c r="D90" s="411"/>
      <c r="E90" s="411"/>
      <c r="F90" s="411"/>
      <c r="G90" s="411"/>
      <c r="H90" s="411"/>
      <c r="I90" s="411"/>
      <c r="J90" s="411"/>
      <c r="K90" s="411"/>
      <c r="L90" s="411"/>
      <c r="M90" s="411"/>
      <c r="N90" s="411"/>
      <c r="O90" s="411"/>
      <c r="P90" s="411"/>
      <c r="Q90" s="411"/>
      <c r="R90" s="411"/>
      <c r="S90" s="411"/>
      <c r="T90" s="411"/>
      <c r="U90" s="411"/>
      <c r="V90" s="411"/>
      <c r="W90" s="411"/>
      <c r="X90" s="411"/>
      <c r="Y90" s="411"/>
      <c r="Z90" s="411"/>
      <c r="AA90" s="411"/>
      <c r="AB90" s="411"/>
      <c r="AC90" s="411"/>
      <c r="AD90" s="411"/>
      <c r="AE90" s="411"/>
      <c r="AF90" s="411"/>
      <c r="AG90" s="411"/>
      <c r="AH90" s="411"/>
      <c r="AI90" s="411"/>
      <c r="AJ90" s="411"/>
      <c r="AK90" s="411"/>
      <c r="AL90" s="411"/>
      <c r="AM90" s="411"/>
      <c r="AN90" s="411"/>
      <c r="AO90" s="411"/>
      <c r="AP90" s="411"/>
      <c r="AQ90" s="411"/>
      <c r="AR90" s="411"/>
      <c r="AS90" s="411"/>
      <c r="AT90" s="411"/>
      <c r="AU90" s="411"/>
      <c r="AV90" s="411"/>
      <c r="AW90" s="411"/>
      <c r="AX90" s="411"/>
      <c r="AY90" s="411"/>
      <c r="AZ90" s="34">
        <v>1350.0</v>
      </c>
      <c r="BA90" s="34" t="s">
        <v>127</v>
      </c>
      <c r="BB90" s="411"/>
      <c r="BC90" s="411"/>
      <c r="BD90" s="411"/>
      <c r="BE90" s="411"/>
      <c r="BF90" s="30"/>
      <c r="BG90" s="30"/>
      <c r="BH90" s="30"/>
      <c r="BI90" s="30"/>
      <c r="BJ90" s="30"/>
      <c r="BK90" s="30"/>
      <c r="BL90" s="30"/>
      <c r="BM90" s="30"/>
      <c r="BN90" s="30"/>
      <c r="BO90" s="259"/>
      <c r="BP90" s="259"/>
      <c r="BQ90" s="259"/>
      <c r="BR90" s="259"/>
      <c r="BS90" s="259"/>
      <c r="BT90" s="259"/>
      <c r="BU90" s="259"/>
      <c r="BV90" s="259"/>
      <c r="BW90" s="259"/>
      <c r="BX90" s="259"/>
      <c r="BY90" s="259"/>
      <c r="BZ90" s="260"/>
      <c r="CA90" s="259"/>
      <c r="CB90" s="259"/>
      <c r="CC90" s="259"/>
      <c r="CD90" s="259"/>
      <c r="CE90" s="259"/>
      <c r="CF90" s="259"/>
      <c r="CG90" s="259"/>
      <c r="CH90" s="259"/>
      <c r="CI90" s="259"/>
      <c r="CJ90" s="259"/>
      <c r="CK90" s="259"/>
      <c r="CL90" s="259"/>
      <c r="CM90" s="259"/>
      <c r="CN90" s="259"/>
      <c r="CO90" s="259"/>
      <c r="CP90" s="259"/>
      <c r="CQ90" s="259"/>
      <c r="CR90" s="259"/>
      <c r="CS90" s="259"/>
      <c r="CT90" s="259"/>
      <c r="CU90" s="259"/>
      <c r="CV90" s="259"/>
      <c r="CW90" s="259"/>
    </row>
    <row r="91">
      <c r="A91" s="411"/>
      <c r="B91" s="411"/>
      <c r="C91" s="411"/>
      <c r="D91" s="411"/>
      <c r="E91" s="411"/>
      <c r="F91" s="411"/>
      <c r="G91" s="411"/>
      <c r="H91" s="411"/>
      <c r="I91" s="411"/>
      <c r="J91" s="411"/>
      <c r="K91" s="411"/>
      <c r="L91" s="411"/>
      <c r="M91" s="411"/>
      <c r="N91" s="411"/>
      <c r="O91" s="411"/>
      <c r="P91" s="411"/>
      <c r="Q91" s="411"/>
      <c r="R91" s="411"/>
      <c r="S91" s="411"/>
      <c r="T91" s="411"/>
      <c r="U91" s="411"/>
      <c r="V91" s="411"/>
      <c r="W91" s="411"/>
      <c r="X91" s="411"/>
      <c r="Y91" s="411"/>
      <c r="Z91" s="411"/>
      <c r="AA91" s="411"/>
      <c r="AB91" s="411"/>
      <c r="AC91" s="411"/>
      <c r="AD91" s="411"/>
      <c r="AE91" s="411"/>
      <c r="AF91" s="411"/>
      <c r="AG91" s="411"/>
      <c r="AH91" s="411"/>
      <c r="AI91" s="411"/>
      <c r="AJ91" s="411"/>
      <c r="AK91" s="411"/>
      <c r="AL91" s="411"/>
      <c r="AM91" s="411"/>
      <c r="AN91" s="411"/>
      <c r="AO91" s="411"/>
      <c r="AP91" s="411"/>
      <c r="AQ91" s="411"/>
      <c r="AR91" s="411"/>
      <c r="AS91" s="411"/>
      <c r="AT91" s="411"/>
      <c r="AU91" s="411"/>
      <c r="AV91" s="411"/>
      <c r="AW91" s="411"/>
      <c r="AX91" s="411"/>
      <c r="AY91" s="411"/>
      <c r="AZ91" s="34">
        <v>1800.0</v>
      </c>
      <c r="BA91" s="34" t="s">
        <v>128</v>
      </c>
      <c r="BB91" s="411"/>
      <c r="BC91" s="411"/>
      <c r="BD91" s="411"/>
      <c r="BE91" s="411"/>
      <c r="BF91" s="30"/>
      <c r="BG91" s="30"/>
      <c r="BH91" s="30"/>
      <c r="BI91" s="30"/>
      <c r="BJ91" s="30"/>
      <c r="BK91" s="30"/>
      <c r="BL91" s="30"/>
      <c r="BM91" s="30"/>
      <c r="BN91" s="30"/>
      <c r="BO91" s="259"/>
      <c r="BP91" s="259"/>
      <c r="BQ91" s="259"/>
      <c r="BR91" s="259"/>
      <c r="BS91" s="259"/>
      <c r="BT91" s="259"/>
      <c r="BU91" s="259"/>
      <c r="BV91" s="259"/>
      <c r="BW91" s="259"/>
      <c r="BX91" s="259"/>
      <c r="BY91" s="259"/>
      <c r="BZ91" s="260"/>
      <c r="CA91" s="259"/>
      <c r="CB91" s="259"/>
      <c r="CC91" s="259"/>
      <c r="CD91" s="259"/>
      <c r="CE91" s="259"/>
      <c r="CF91" s="259"/>
      <c r="CG91" s="259"/>
      <c r="CH91" s="259"/>
      <c r="CI91" s="259"/>
      <c r="CJ91" s="259"/>
      <c r="CK91" s="259"/>
      <c r="CL91" s="259"/>
      <c r="CM91" s="259"/>
      <c r="CN91" s="259"/>
      <c r="CO91" s="259"/>
      <c r="CP91" s="259"/>
      <c r="CQ91" s="259"/>
      <c r="CR91" s="259"/>
      <c r="CS91" s="259"/>
      <c r="CT91" s="259"/>
      <c r="CU91" s="259"/>
      <c r="CV91" s="259"/>
      <c r="CW91" s="259"/>
    </row>
    <row r="92">
      <c r="A92" s="411"/>
      <c r="B92" s="411"/>
      <c r="C92" s="411"/>
      <c r="D92" s="411"/>
      <c r="E92" s="411"/>
      <c r="F92" s="411"/>
      <c r="G92" s="411"/>
      <c r="H92" s="411"/>
      <c r="I92" s="411"/>
      <c r="J92" s="411"/>
      <c r="K92" s="411"/>
      <c r="L92" s="411"/>
      <c r="M92" s="411"/>
      <c r="N92" s="411"/>
      <c r="O92" s="411"/>
      <c r="P92" s="411"/>
      <c r="Q92" s="411"/>
      <c r="R92" s="411"/>
      <c r="S92" s="411"/>
      <c r="T92" s="411"/>
      <c r="U92" s="411"/>
      <c r="V92" s="411"/>
      <c r="W92" s="411"/>
      <c r="X92" s="411"/>
      <c r="Y92" s="411"/>
      <c r="Z92" s="411"/>
      <c r="AA92" s="411"/>
      <c r="AB92" s="411"/>
      <c r="AC92" s="411"/>
      <c r="AD92" s="411"/>
      <c r="AE92" s="411"/>
      <c r="AF92" s="411"/>
      <c r="AG92" s="411"/>
      <c r="AH92" s="411"/>
      <c r="AI92" s="411"/>
      <c r="AJ92" s="411"/>
      <c r="AK92" s="411"/>
      <c r="AL92" s="411"/>
      <c r="AM92" s="411"/>
      <c r="AN92" s="411"/>
      <c r="AO92" s="411"/>
      <c r="AP92" s="411"/>
      <c r="AQ92" s="411"/>
      <c r="AR92" s="411"/>
      <c r="AS92" s="411"/>
      <c r="AT92" s="411"/>
      <c r="AU92" s="411"/>
      <c r="AV92" s="411"/>
      <c r="AW92" s="411"/>
      <c r="AX92" s="411"/>
      <c r="AY92" s="411"/>
      <c r="AZ92" s="34">
        <v>4787.0</v>
      </c>
      <c r="BA92" s="34" t="s">
        <v>129</v>
      </c>
      <c r="BB92" s="412"/>
      <c r="BC92" s="412"/>
      <c r="BD92" s="412"/>
      <c r="BE92" s="412"/>
      <c r="BF92" s="30"/>
      <c r="BG92" s="30"/>
      <c r="BH92" s="30"/>
      <c r="BI92" s="30"/>
      <c r="BJ92" s="30"/>
      <c r="BK92" s="30"/>
      <c r="BL92" s="30"/>
      <c r="BM92" s="30"/>
      <c r="BN92" s="30"/>
      <c r="BO92" s="259"/>
      <c r="BP92" s="259"/>
      <c r="BQ92" s="259"/>
      <c r="BR92" s="259"/>
      <c r="BS92" s="259"/>
      <c r="BT92" s="259"/>
      <c r="BU92" s="259"/>
      <c r="BV92" s="259"/>
      <c r="BW92" s="259"/>
      <c r="BX92" s="259"/>
      <c r="BY92" s="259"/>
      <c r="BZ92" s="260"/>
      <c r="CA92" s="259"/>
      <c r="CB92" s="259"/>
      <c r="CC92" s="259"/>
      <c r="CD92" s="259"/>
      <c r="CE92" s="259"/>
      <c r="CF92" s="259"/>
      <c r="CG92" s="259"/>
      <c r="CH92" s="259"/>
      <c r="CI92" s="259"/>
      <c r="CJ92" s="259"/>
      <c r="CK92" s="259"/>
      <c r="CL92" s="259"/>
      <c r="CM92" s="259"/>
      <c r="CN92" s="259"/>
      <c r="CO92" s="259"/>
      <c r="CP92" s="259"/>
      <c r="CQ92" s="259"/>
      <c r="CR92" s="259"/>
      <c r="CS92" s="259"/>
      <c r="CT92" s="259"/>
      <c r="CU92" s="259"/>
      <c r="CV92" s="259"/>
      <c r="CW92" s="259"/>
    </row>
    <row r="93">
      <c r="A93" s="411"/>
      <c r="B93" s="411"/>
      <c r="C93" s="411"/>
      <c r="D93" s="411"/>
      <c r="E93" s="411"/>
      <c r="F93" s="411"/>
      <c r="G93" s="411"/>
      <c r="H93" s="411"/>
      <c r="I93" s="411"/>
      <c r="J93" s="411"/>
      <c r="K93" s="411"/>
      <c r="L93" s="411"/>
      <c r="M93" s="411"/>
      <c r="N93" s="411"/>
      <c r="O93" s="411"/>
      <c r="P93" s="411"/>
      <c r="Q93" s="411"/>
      <c r="R93" s="411"/>
      <c r="S93" s="411"/>
      <c r="T93" s="411"/>
      <c r="U93" s="411"/>
      <c r="V93" s="411"/>
      <c r="W93" s="411"/>
      <c r="X93" s="411"/>
      <c r="Y93" s="411"/>
      <c r="Z93" s="411"/>
      <c r="AA93" s="411"/>
      <c r="AB93" s="411"/>
      <c r="AC93" s="411"/>
      <c r="AD93" s="411"/>
      <c r="AE93" s="411"/>
      <c r="AF93" s="411"/>
      <c r="AG93" s="411"/>
      <c r="AH93" s="411"/>
      <c r="AI93" s="411"/>
      <c r="AJ93" s="411"/>
      <c r="AK93" s="411"/>
      <c r="AL93" s="411"/>
      <c r="AM93" s="411"/>
      <c r="AN93" s="411"/>
      <c r="AO93" s="411"/>
      <c r="AP93" s="411"/>
      <c r="AQ93" s="411"/>
      <c r="AR93" s="411"/>
      <c r="AS93" s="411"/>
      <c r="AT93" s="411"/>
      <c r="AU93" s="411"/>
      <c r="AV93" s="411"/>
      <c r="AW93" s="411"/>
      <c r="AX93" s="411"/>
      <c r="AY93" s="411"/>
      <c r="AZ93" s="411">
        <f>220+260</f>
        <v>480</v>
      </c>
      <c r="BA93" s="34" t="s">
        <v>130</v>
      </c>
      <c r="BB93" s="411"/>
      <c r="BC93" s="411"/>
      <c r="BD93" s="411"/>
      <c r="BE93" s="411"/>
      <c r="BF93" s="30"/>
      <c r="BG93" s="30"/>
      <c r="BH93" s="30"/>
      <c r="BI93" s="30"/>
      <c r="BJ93" s="30"/>
      <c r="BK93" s="30"/>
      <c r="BL93" s="30"/>
      <c r="BM93" s="30"/>
      <c r="BN93" s="30"/>
      <c r="BO93" s="259"/>
      <c r="BP93" s="259"/>
      <c r="BQ93" s="259"/>
      <c r="BR93" s="259"/>
      <c r="BS93" s="259"/>
      <c r="BT93" s="259"/>
      <c r="BU93" s="259"/>
      <c r="BV93" s="259"/>
      <c r="BW93" s="259"/>
      <c r="BX93" s="259"/>
      <c r="BY93" s="259"/>
      <c r="BZ93" s="260"/>
      <c r="CA93" s="259"/>
      <c r="CB93" s="259"/>
      <c r="CC93" s="259"/>
      <c r="CD93" s="259"/>
      <c r="CE93" s="259"/>
      <c r="CF93" s="259"/>
      <c r="CG93" s="259"/>
      <c r="CH93" s="259"/>
      <c r="CI93" s="259"/>
      <c r="CJ93" s="259"/>
      <c r="CK93" s="259"/>
      <c r="CL93" s="259"/>
      <c r="CM93" s="259"/>
      <c r="CN93" s="259"/>
      <c r="CO93" s="259"/>
      <c r="CP93" s="259"/>
      <c r="CQ93" s="259"/>
      <c r="CR93" s="259"/>
      <c r="CS93" s="259"/>
      <c r="CT93" s="259"/>
      <c r="CU93" s="259"/>
      <c r="CV93" s="259"/>
      <c r="CW93" s="259"/>
    </row>
    <row r="94">
      <c r="A94" s="411"/>
      <c r="B94" s="411"/>
      <c r="C94" s="411"/>
      <c r="D94" s="411"/>
      <c r="E94" s="411"/>
      <c r="F94" s="411"/>
      <c r="G94" s="411"/>
      <c r="H94" s="411"/>
      <c r="I94" s="411"/>
      <c r="J94" s="411"/>
      <c r="K94" s="411"/>
      <c r="L94" s="411"/>
      <c r="M94" s="411"/>
      <c r="N94" s="411"/>
      <c r="O94" s="411"/>
      <c r="P94" s="411"/>
      <c r="Q94" s="411"/>
      <c r="R94" s="411"/>
      <c r="S94" s="411"/>
      <c r="T94" s="411"/>
      <c r="U94" s="411"/>
      <c r="V94" s="411"/>
      <c r="W94" s="411"/>
      <c r="X94" s="411"/>
      <c r="Y94" s="411"/>
      <c r="Z94" s="411"/>
      <c r="AA94" s="411"/>
      <c r="AB94" s="411"/>
      <c r="AC94" s="411"/>
      <c r="AD94" s="411"/>
      <c r="AE94" s="411"/>
      <c r="AF94" s="411"/>
      <c r="AG94" s="411"/>
      <c r="AH94" s="411"/>
      <c r="AI94" s="411"/>
      <c r="AJ94" s="411"/>
      <c r="AK94" s="411"/>
      <c r="AL94" s="411"/>
      <c r="AM94" s="411"/>
      <c r="AN94" s="411"/>
      <c r="AO94" s="411"/>
      <c r="AP94" s="411"/>
      <c r="AQ94" s="411"/>
      <c r="AR94" s="411"/>
      <c r="AS94" s="411"/>
      <c r="AT94" s="411"/>
      <c r="AU94" s="411"/>
      <c r="AV94" s="411"/>
      <c r="AW94" s="411"/>
      <c r="AX94" s="411"/>
      <c r="AY94" s="411"/>
      <c r="AZ94" s="34">
        <v>3688.0</v>
      </c>
      <c r="BA94" s="34" t="s">
        <v>131</v>
      </c>
      <c r="BB94" s="411"/>
      <c r="BC94" s="411"/>
      <c r="BD94" s="411"/>
      <c r="BE94" s="411"/>
      <c r="BF94" s="30"/>
      <c r="BG94" s="30"/>
      <c r="BH94" s="30"/>
      <c r="BI94" s="30"/>
      <c r="BJ94" s="30"/>
      <c r="BK94" s="30"/>
      <c r="BL94" s="30"/>
      <c r="BM94" s="30"/>
      <c r="BN94" s="30"/>
      <c r="BO94" s="259"/>
      <c r="BP94" s="259"/>
      <c r="BQ94" s="259"/>
      <c r="BR94" s="259"/>
      <c r="BS94" s="259"/>
      <c r="BT94" s="259"/>
      <c r="BU94" s="259"/>
      <c r="BV94" s="259"/>
      <c r="BW94" s="259"/>
      <c r="BX94" s="259"/>
      <c r="BY94" s="259"/>
      <c r="BZ94" s="260"/>
      <c r="CA94" s="259"/>
      <c r="CB94" s="259"/>
      <c r="CC94" s="259"/>
      <c r="CD94" s="259"/>
      <c r="CE94" s="259"/>
      <c r="CF94" s="259"/>
      <c r="CG94" s="259"/>
      <c r="CH94" s="259"/>
      <c r="CI94" s="259"/>
      <c r="CJ94" s="259"/>
      <c r="CK94" s="259"/>
      <c r="CL94" s="259"/>
      <c r="CM94" s="259"/>
      <c r="CN94" s="259"/>
      <c r="CO94" s="259"/>
      <c r="CP94" s="259"/>
      <c r="CQ94" s="259"/>
      <c r="CR94" s="259"/>
      <c r="CS94" s="259"/>
      <c r="CT94" s="259"/>
      <c r="CU94" s="259"/>
      <c r="CV94" s="259"/>
      <c r="CW94" s="259"/>
    </row>
    <row r="95">
      <c r="A95" s="411"/>
      <c r="B95" s="411"/>
      <c r="C95" s="411"/>
      <c r="D95" s="411"/>
      <c r="E95" s="411"/>
      <c r="F95" s="411"/>
      <c r="G95" s="411"/>
      <c r="H95" s="411"/>
      <c r="I95" s="411"/>
      <c r="J95" s="411"/>
      <c r="K95" s="411"/>
      <c r="L95" s="411"/>
      <c r="M95" s="411"/>
      <c r="N95" s="411"/>
      <c r="O95" s="411"/>
      <c r="P95" s="411"/>
      <c r="Q95" s="411"/>
      <c r="R95" s="411"/>
      <c r="S95" s="411"/>
      <c r="T95" s="411"/>
      <c r="U95" s="411"/>
      <c r="V95" s="411"/>
      <c r="W95" s="411"/>
      <c r="X95" s="411"/>
      <c r="Y95" s="411"/>
      <c r="Z95" s="411"/>
      <c r="AA95" s="411"/>
      <c r="AB95" s="411"/>
      <c r="AC95" s="411"/>
      <c r="AD95" s="411"/>
      <c r="AE95" s="411"/>
      <c r="AF95" s="411"/>
      <c r="AG95" s="411"/>
      <c r="AH95" s="411"/>
      <c r="AI95" s="411"/>
      <c r="AJ95" s="411"/>
      <c r="AK95" s="411"/>
      <c r="AL95" s="411"/>
      <c r="AM95" s="411"/>
      <c r="AN95" s="411"/>
      <c r="AO95" s="411"/>
      <c r="AP95" s="411"/>
      <c r="AQ95" s="411"/>
      <c r="AR95" s="411"/>
      <c r="AS95" s="411"/>
      <c r="AT95" s="411"/>
      <c r="AU95" s="411"/>
      <c r="AV95" s="411"/>
      <c r="AW95" s="411"/>
      <c r="AX95" s="411"/>
      <c r="AY95" s="411"/>
      <c r="AZ95" s="34">
        <v>1700.0</v>
      </c>
      <c r="BA95" s="34" t="s">
        <v>132</v>
      </c>
      <c r="BB95" s="411"/>
      <c r="BC95" s="411"/>
      <c r="BD95" s="411"/>
      <c r="BE95" s="411"/>
      <c r="BF95" s="30"/>
      <c r="BG95" s="30"/>
      <c r="BH95" s="30"/>
      <c r="BI95" s="30"/>
      <c r="BJ95" s="30"/>
      <c r="BK95" s="30"/>
      <c r="BL95" s="30"/>
      <c r="BM95" s="30"/>
      <c r="BN95" s="30"/>
      <c r="BO95" s="259"/>
      <c r="BP95" s="259"/>
      <c r="BQ95" s="259"/>
      <c r="BR95" s="259"/>
      <c r="BS95" s="259"/>
      <c r="BT95" s="259"/>
      <c r="BU95" s="259"/>
      <c r="BV95" s="259"/>
      <c r="BW95" s="259"/>
      <c r="BX95" s="259"/>
      <c r="BY95" s="259"/>
      <c r="BZ95" s="260"/>
      <c r="CA95" s="259"/>
      <c r="CB95" s="259"/>
      <c r="CC95" s="259"/>
      <c r="CD95" s="259"/>
      <c r="CE95" s="259"/>
      <c r="CF95" s="259"/>
      <c r="CG95" s="259"/>
      <c r="CH95" s="259"/>
      <c r="CI95" s="259"/>
      <c r="CJ95" s="259"/>
      <c r="CK95" s="259"/>
      <c r="CL95" s="259"/>
      <c r="CM95" s="259"/>
      <c r="CN95" s="259"/>
      <c r="CO95" s="259"/>
      <c r="CP95" s="259"/>
      <c r="CQ95" s="259"/>
      <c r="CR95" s="259"/>
      <c r="CS95" s="259"/>
      <c r="CT95" s="259"/>
      <c r="CU95" s="259"/>
      <c r="CV95" s="259"/>
      <c r="CW95" s="259"/>
    </row>
    <row r="96">
      <c r="A96" s="411"/>
      <c r="B96" s="411"/>
      <c r="C96" s="411"/>
      <c r="D96" s="411"/>
      <c r="E96" s="411"/>
      <c r="F96" s="411"/>
      <c r="G96" s="411"/>
      <c r="H96" s="411"/>
      <c r="I96" s="411"/>
      <c r="J96" s="411"/>
      <c r="K96" s="411"/>
      <c r="L96" s="411"/>
      <c r="M96" s="411"/>
      <c r="N96" s="411"/>
      <c r="O96" s="411"/>
      <c r="P96" s="411"/>
      <c r="Q96" s="411"/>
      <c r="R96" s="411"/>
      <c r="S96" s="411"/>
      <c r="T96" s="411"/>
      <c r="U96" s="411"/>
      <c r="V96" s="411"/>
      <c r="W96" s="411"/>
      <c r="X96" s="411"/>
      <c r="Y96" s="411"/>
      <c r="Z96" s="411"/>
      <c r="AA96" s="411"/>
      <c r="AB96" s="411"/>
      <c r="AC96" s="411"/>
      <c r="AD96" s="411"/>
      <c r="AE96" s="411"/>
      <c r="AF96" s="411"/>
      <c r="AG96" s="411"/>
      <c r="AH96" s="411"/>
      <c r="AI96" s="411"/>
      <c r="AJ96" s="411"/>
      <c r="AK96" s="411"/>
      <c r="AL96" s="411"/>
      <c r="AM96" s="411"/>
      <c r="AN96" s="411"/>
      <c r="AO96" s="411"/>
      <c r="AP96" s="411"/>
      <c r="AQ96" s="411"/>
      <c r="AR96" s="411"/>
      <c r="AS96" s="411"/>
      <c r="AT96" s="411"/>
      <c r="AU96" s="411"/>
      <c r="AV96" s="411"/>
      <c r="AW96" s="411"/>
      <c r="AX96" s="411"/>
      <c r="AY96" s="411"/>
      <c r="AZ96">
        <f>1600+267+277+120</f>
        <v>2264</v>
      </c>
      <c r="BA96" s="19" t="s">
        <v>133</v>
      </c>
      <c r="BF96" s="30"/>
      <c r="BG96" s="30"/>
      <c r="BH96" s="30"/>
      <c r="BI96" s="30"/>
      <c r="BJ96" s="30"/>
      <c r="BK96" s="30"/>
      <c r="BL96" s="30"/>
      <c r="BM96" s="30"/>
      <c r="BN96" s="30"/>
      <c r="BO96" s="259"/>
      <c r="BP96" s="259"/>
      <c r="BQ96" s="259"/>
      <c r="BR96" s="259"/>
      <c r="BS96" s="259"/>
      <c r="BT96" s="259"/>
      <c r="BU96" s="259"/>
      <c r="BV96" s="259"/>
      <c r="BW96" s="259"/>
      <c r="BX96" s="259"/>
      <c r="BY96" s="259"/>
      <c r="BZ96" s="260"/>
      <c r="CA96" s="259"/>
      <c r="CB96" s="259"/>
      <c r="CC96" s="259"/>
      <c r="CD96" s="259"/>
      <c r="CE96" s="259"/>
      <c r="CF96" s="259"/>
      <c r="CG96" s="259"/>
      <c r="CH96" s="259"/>
      <c r="CI96" s="259"/>
      <c r="CJ96" s="259"/>
      <c r="CK96" s="259"/>
      <c r="CL96" s="259"/>
      <c r="CM96" s="259"/>
      <c r="CN96" s="259"/>
      <c r="CO96" s="259"/>
      <c r="CP96" s="259"/>
      <c r="CQ96" s="259"/>
      <c r="CR96" s="259"/>
      <c r="CS96" s="259"/>
      <c r="CT96" s="259"/>
      <c r="CU96" s="259"/>
      <c r="CV96" s="259"/>
      <c r="CW96" s="259"/>
    </row>
    <row r="97">
      <c r="A97" s="411"/>
      <c r="B97" s="411"/>
      <c r="C97" s="411"/>
      <c r="D97" s="411"/>
      <c r="E97" s="411"/>
      <c r="F97" s="411"/>
      <c r="G97" s="411"/>
      <c r="H97" s="411"/>
      <c r="I97" s="411"/>
      <c r="J97" s="411"/>
      <c r="K97" s="411"/>
      <c r="L97" s="411"/>
      <c r="M97" s="411"/>
      <c r="N97" s="411"/>
      <c r="O97" s="411"/>
      <c r="P97" s="411"/>
      <c r="Q97" s="411"/>
      <c r="R97" s="411"/>
      <c r="S97" s="411"/>
      <c r="T97" s="411"/>
      <c r="U97" s="411"/>
      <c r="V97" s="411"/>
      <c r="W97" s="411"/>
      <c r="X97" s="411"/>
      <c r="Y97" s="411"/>
      <c r="Z97" s="411"/>
      <c r="AA97" s="411"/>
      <c r="AB97" s="411"/>
      <c r="AC97" s="411"/>
      <c r="AD97" s="411"/>
      <c r="AE97" s="411"/>
      <c r="AF97" s="411"/>
      <c r="AG97" s="411"/>
      <c r="AH97" s="411"/>
      <c r="AI97" s="411"/>
      <c r="AJ97" s="411"/>
      <c r="AK97" s="411"/>
      <c r="AL97" s="411"/>
      <c r="AM97" s="411"/>
      <c r="AN97" s="411"/>
      <c r="AO97" s="411"/>
      <c r="AP97" s="411"/>
      <c r="AQ97" s="411"/>
      <c r="AR97" s="411"/>
      <c r="AS97" s="411"/>
      <c r="AT97" s="411"/>
      <c r="AU97" s="411"/>
      <c r="AV97" s="411"/>
      <c r="AW97" s="411"/>
      <c r="AX97" s="411"/>
      <c r="AY97" s="411"/>
      <c r="AZ97">
        <f>537+1800+235</f>
        <v>2572</v>
      </c>
      <c r="BA97" s="19" t="s">
        <v>134</v>
      </c>
      <c r="BF97" s="30"/>
      <c r="BG97" s="30"/>
      <c r="BH97" s="30"/>
      <c r="BI97" s="30"/>
      <c r="BJ97" s="30"/>
      <c r="BK97" s="30"/>
      <c r="BL97" s="30"/>
      <c r="BM97" s="30"/>
      <c r="BN97" s="30"/>
      <c r="BO97" s="259"/>
      <c r="BP97" s="259"/>
      <c r="BQ97" s="259"/>
      <c r="BR97" s="259"/>
      <c r="BS97" s="259"/>
      <c r="BT97" s="259"/>
      <c r="BU97" s="259"/>
      <c r="BV97" s="259"/>
      <c r="BW97" s="259"/>
      <c r="BX97" s="259"/>
      <c r="BY97" s="259"/>
      <c r="BZ97" s="260"/>
      <c r="CA97" s="259"/>
      <c r="CB97" s="259"/>
      <c r="CC97" s="259"/>
      <c r="CD97" s="259"/>
      <c r="CE97" s="259"/>
      <c r="CF97" s="259"/>
      <c r="CG97" s="259"/>
      <c r="CH97" s="259"/>
      <c r="CI97" s="259"/>
      <c r="CJ97" s="259"/>
      <c r="CK97" s="259"/>
      <c r="CL97" s="259"/>
      <c r="CM97" s="259"/>
      <c r="CN97" s="259"/>
      <c r="CO97" s="259"/>
      <c r="CP97" s="259"/>
      <c r="CQ97" s="259"/>
      <c r="CR97" s="259"/>
      <c r="CS97" s="259"/>
      <c r="CT97" s="259"/>
      <c r="CU97" s="259"/>
      <c r="CV97" s="259"/>
      <c r="CW97" s="259"/>
    </row>
    <row r="98">
      <c r="A98" s="411"/>
      <c r="B98" s="411"/>
      <c r="C98" s="411"/>
      <c r="D98" s="411"/>
      <c r="E98" s="411"/>
      <c r="F98" s="411"/>
      <c r="G98" s="411"/>
      <c r="H98" s="411"/>
      <c r="I98" s="411"/>
      <c r="J98" s="411"/>
      <c r="K98" s="411"/>
      <c r="L98" s="411"/>
      <c r="M98" s="411"/>
      <c r="N98" s="411"/>
      <c r="O98" s="411"/>
      <c r="P98" s="411"/>
      <c r="Q98" s="411"/>
      <c r="R98" s="411"/>
      <c r="S98" s="411"/>
      <c r="T98" s="411"/>
      <c r="U98" s="411"/>
      <c r="V98" s="411"/>
      <c r="W98" s="411"/>
      <c r="X98" s="411"/>
      <c r="Y98" s="411"/>
      <c r="Z98" s="411"/>
      <c r="AA98" s="411"/>
      <c r="AB98" s="411"/>
      <c r="AC98" s="411"/>
      <c r="AD98" s="411"/>
      <c r="AE98" s="411"/>
      <c r="AF98" s="411"/>
      <c r="AG98" s="411"/>
      <c r="AH98" s="411"/>
      <c r="AI98" s="411"/>
      <c r="AJ98" s="411"/>
      <c r="AK98" s="411"/>
      <c r="AL98" s="411"/>
      <c r="AM98" s="411"/>
      <c r="AN98" s="411"/>
      <c r="AO98" s="411"/>
      <c r="AP98" s="411"/>
      <c r="AQ98" s="411"/>
      <c r="AR98" s="411"/>
      <c r="AS98" s="411"/>
      <c r="AT98" s="411"/>
      <c r="AU98" s="411"/>
      <c r="AV98" s="411"/>
      <c r="AW98" s="411"/>
      <c r="AX98" s="411"/>
      <c r="AY98" s="411"/>
      <c r="AZ98" s="34">
        <f>181+350</f>
        <v>531</v>
      </c>
      <c r="BA98" s="34" t="s">
        <v>135</v>
      </c>
      <c r="BB98" s="411"/>
      <c r="BC98" s="411"/>
      <c r="BD98" s="411"/>
      <c r="BE98" s="411"/>
      <c r="BF98" s="30"/>
      <c r="BG98" s="30"/>
      <c r="BH98" s="30"/>
      <c r="BI98" s="30"/>
      <c r="BJ98" s="30"/>
      <c r="BK98" s="30"/>
      <c r="BL98" s="30"/>
      <c r="BM98" s="30"/>
      <c r="BN98" s="30"/>
      <c r="BO98" s="259"/>
      <c r="BP98" s="259"/>
      <c r="BQ98" s="259"/>
      <c r="BR98" s="259"/>
      <c r="BS98" s="259"/>
      <c r="BT98" s="259"/>
      <c r="BU98" s="259"/>
      <c r="BV98" s="259"/>
      <c r="BW98" s="259"/>
      <c r="BX98" s="259"/>
      <c r="BY98" s="259"/>
      <c r="BZ98" s="260"/>
      <c r="CA98" s="259"/>
      <c r="CB98" s="259"/>
      <c r="CC98" s="259"/>
      <c r="CD98" s="259"/>
      <c r="CE98" s="259"/>
      <c r="CF98" s="259"/>
      <c r="CG98" s="259"/>
      <c r="CH98" s="259"/>
      <c r="CI98" s="259"/>
      <c r="CJ98" s="259"/>
      <c r="CK98" s="259"/>
      <c r="CL98" s="259"/>
      <c r="CM98" s="259"/>
      <c r="CN98" s="259"/>
      <c r="CO98" s="259"/>
      <c r="CP98" s="259"/>
      <c r="CQ98" s="259"/>
      <c r="CR98" s="259"/>
      <c r="CS98" s="259"/>
      <c r="CT98" s="259"/>
      <c r="CU98" s="259"/>
      <c r="CV98" s="259"/>
      <c r="CW98" s="259"/>
    </row>
    <row r="99">
      <c r="A99" s="411"/>
      <c r="B99" s="411"/>
      <c r="C99" s="411"/>
      <c r="D99" s="411"/>
      <c r="E99" s="411"/>
      <c r="F99" s="411"/>
      <c r="G99" s="411"/>
      <c r="H99" s="411"/>
      <c r="I99" s="411"/>
      <c r="J99" s="411"/>
      <c r="K99" s="411"/>
      <c r="L99" s="411"/>
      <c r="M99" s="411"/>
      <c r="N99" s="411"/>
      <c r="O99" s="411"/>
      <c r="P99" s="411"/>
      <c r="Q99" s="411"/>
      <c r="R99" s="411"/>
      <c r="S99" s="411"/>
      <c r="T99" s="411"/>
      <c r="U99" s="411"/>
      <c r="V99" s="411"/>
      <c r="W99" s="411"/>
      <c r="X99" s="411"/>
      <c r="Y99" s="411"/>
      <c r="Z99" s="411"/>
      <c r="AA99" s="411"/>
      <c r="AB99" s="411"/>
      <c r="AC99" s="411"/>
      <c r="AD99" s="411"/>
      <c r="AE99" s="411"/>
      <c r="AF99" s="411"/>
      <c r="AG99" s="411"/>
      <c r="AH99" s="411"/>
      <c r="AI99" s="411"/>
      <c r="AJ99" s="411"/>
      <c r="AK99" s="411"/>
      <c r="AL99" s="411"/>
      <c r="AM99" s="411"/>
      <c r="AN99" s="411"/>
      <c r="AO99" s="411"/>
      <c r="AP99" s="411"/>
      <c r="AQ99" s="411"/>
      <c r="AR99" s="411"/>
      <c r="AS99" s="411"/>
      <c r="AT99" s="411"/>
      <c r="AU99" s="411"/>
      <c r="AV99" s="411"/>
      <c r="AW99" s="411"/>
      <c r="AX99" s="411"/>
      <c r="AY99" s="411"/>
      <c r="AZ99" s="34">
        <v>1800.0</v>
      </c>
      <c r="BA99" s="34" t="s">
        <v>136</v>
      </c>
      <c r="BB99" s="411"/>
      <c r="BC99" s="411"/>
      <c r="BD99" s="411"/>
      <c r="BE99" s="411"/>
      <c r="BF99" s="30"/>
      <c r="BG99" s="30"/>
      <c r="BH99" s="30"/>
      <c r="BI99" s="30"/>
      <c r="BJ99" s="30"/>
      <c r="BK99" s="30"/>
      <c r="BL99" s="30"/>
      <c r="BM99" s="30"/>
      <c r="BN99" s="30"/>
      <c r="BO99" s="259"/>
      <c r="BP99" s="259"/>
      <c r="BQ99" s="259"/>
      <c r="BR99" s="259"/>
      <c r="BS99" s="259"/>
      <c r="BT99" s="259"/>
      <c r="BU99" s="259"/>
      <c r="BV99" s="259"/>
      <c r="BW99" s="259"/>
      <c r="BX99" s="259"/>
      <c r="BY99" s="259"/>
      <c r="BZ99" s="260"/>
      <c r="CA99" s="259"/>
      <c r="CB99" s="259"/>
      <c r="CC99" s="259"/>
      <c r="CD99" s="259"/>
      <c r="CE99" s="259"/>
      <c r="CF99" s="259"/>
      <c r="CG99" s="259"/>
      <c r="CH99" s="259"/>
      <c r="CI99" s="259"/>
      <c r="CJ99" s="259"/>
      <c r="CK99" s="259"/>
      <c r="CL99" s="259"/>
      <c r="CM99" s="259"/>
      <c r="CN99" s="259"/>
      <c r="CO99" s="259"/>
      <c r="CP99" s="259"/>
      <c r="CQ99" s="259"/>
      <c r="CR99" s="259"/>
      <c r="CS99" s="259"/>
      <c r="CT99" s="259"/>
      <c r="CU99" s="259"/>
      <c r="CV99" s="259"/>
      <c r="CW99" s="259"/>
    </row>
    <row r="100">
      <c r="A100" s="411"/>
      <c r="B100" s="411"/>
      <c r="C100" s="411"/>
      <c r="D100" s="411"/>
      <c r="E100" s="411"/>
      <c r="F100" s="411"/>
      <c r="G100" s="411"/>
      <c r="H100" s="411"/>
      <c r="I100" s="411"/>
      <c r="J100" s="411"/>
      <c r="K100" s="411"/>
      <c r="L100" s="411"/>
      <c r="M100" s="411"/>
      <c r="N100" s="411"/>
      <c r="O100" s="411"/>
      <c r="P100" s="411"/>
      <c r="Q100" s="411"/>
      <c r="R100" s="411"/>
      <c r="S100" s="411"/>
      <c r="T100" s="411"/>
      <c r="U100" s="411"/>
      <c r="V100" s="411"/>
      <c r="W100" s="411"/>
      <c r="X100" s="411"/>
      <c r="Y100" s="411"/>
      <c r="Z100" s="411"/>
      <c r="AA100" s="411"/>
      <c r="AB100" s="411"/>
      <c r="AC100" s="411"/>
      <c r="AD100" s="411"/>
      <c r="AE100" s="411"/>
      <c r="AF100" s="411"/>
      <c r="AG100" s="411"/>
      <c r="AH100" s="411"/>
      <c r="AI100" s="411"/>
      <c r="AJ100" s="411"/>
      <c r="AK100" s="411"/>
      <c r="AL100" s="411"/>
      <c r="AM100" s="411"/>
      <c r="AN100" s="411"/>
      <c r="AO100" s="411"/>
      <c r="AP100" s="411"/>
      <c r="AQ100" s="411"/>
      <c r="AR100" s="411"/>
      <c r="AS100" s="411"/>
      <c r="AT100" s="411"/>
      <c r="AU100" s="411"/>
      <c r="AV100" s="411"/>
      <c r="AW100" s="411"/>
      <c r="AX100" s="411"/>
      <c r="AY100" s="411"/>
      <c r="AZ100" s="34">
        <v>2000.0</v>
      </c>
      <c r="BA100" s="34" t="s">
        <v>137</v>
      </c>
      <c r="BB100" s="411"/>
      <c r="BC100" s="411"/>
      <c r="BD100" s="411"/>
      <c r="BE100" s="411"/>
      <c r="BF100" s="30"/>
      <c r="BG100" s="30"/>
      <c r="BH100" s="30"/>
      <c r="BI100" s="30"/>
      <c r="BJ100" s="30"/>
      <c r="BK100" s="30"/>
      <c r="BL100" s="30"/>
      <c r="BM100" s="30"/>
      <c r="BN100" s="30"/>
      <c r="BO100" s="259"/>
      <c r="BP100" s="259"/>
      <c r="BQ100" s="259"/>
      <c r="BR100" s="259"/>
      <c r="BS100" s="259"/>
      <c r="BT100" s="259"/>
      <c r="BU100" s="259"/>
      <c r="BV100" s="259"/>
      <c r="BW100" s="259"/>
      <c r="BX100" s="259"/>
      <c r="BY100" s="259"/>
      <c r="BZ100" s="260"/>
      <c r="CA100" s="259"/>
      <c r="CB100" s="259"/>
      <c r="CC100" s="259"/>
      <c r="CD100" s="259"/>
      <c r="CE100" s="259"/>
      <c r="CF100" s="259"/>
      <c r="CG100" s="259"/>
      <c r="CH100" s="259"/>
      <c r="CI100" s="259"/>
      <c r="CJ100" s="259"/>
      <c r="CK100" s="259"/>
      <c r="CL100" s="259"/>
      <c r="CM100" s="259"/>
      <c r="CN100" s="259"/>
      <c r="CO100" s="259"/>
      <c r="CP100" s="259"/>
      <c r="CQ100" s="259"/>
      <c r="CR100" s="259"/>
      <c r="CS100" s="259"/>
      <c r="CT100" s="259"/>
      <c r="CU100" s="259"/>
      <c r="CV100" s="259"/>
      <c r="CW100" s="259"/>
    </row>
    <row r="101">
      <c r="A101" s="411"/>
      <c r="B101" s="411"/>
      <c r="C101" s="411"/>
      <c r="D101" s="411"/>
      <c r="E101" s="411"/>
      <c r="F101" s="411"/>
      <c r="G101" s="411"/>
      <c r="H101" s="411"/>
      <c r="I101" s="411"/>
      <c r="J101" s="411"/>
      <c r="K101" s="411"/>
      <c r="L101" s="411"/>
      <c r="M101" s="411"/>
      <c r="N101" s="411"/>
      <c r="O101" s="411"/>
      <c r="P101" s="411"/>
      <c r="Q101" s="411"/>
      <c r="R101" s="411"/>
      <c r="S101" s="411"/>
      <c r="T101" s="411"/>
      <c r="U101" s="411"/>
      <c r="V101" s="411"/>
      <c r="W101" s="411"/>
      <c r="X101" s="411"/>
      <c r="Y101" s="411"/>
      <c r="Z101" s="411"/>
      <c r="AA101" s="411"/>
      <c r="AB101" s="411"/>
      <c r="AC101" s="411"/>
      <c r="AD101" s="411"/>
      <c r="AE101" s="411"/>
      <c r="AF101" s="411"/>
      <c r="AG101" s="411"/>
      <c r="AH101" s="411"/>
      <c r="AI101" s="411"/>
      <c r="AJ101" s="411"/>
      <c r="AK101" s="411"/>
      <c r="AL101" s="411"/>
      <c r="AM101" s="411"/>
      <c r="AN101" s="411"/>
      <c r="AO101" s="411"/>
      <c r="AP101" s="411"/>
      <c r="AQ101" s="411"/>
      <c r="AR101" s="411"/>
      <c r="AS101" s="411"/>
      <c r="AT101" s="411"/>
      <c r="AU101" s="411"/>
      <c r="AV101" s="411"/>
      <c r="AW101" s="411"/>
      <c r="AX101" s="411"/>
      <c r="AY101" s="411"/>
      <c r="AZ101" s="411">
        <f>170+350+450+129+72</f>
        <v>1171</v>
      </c>
      <c r="BA101" s="34" t="s">
        <v>138</v>
      </c>
      <c r="BB101" s="411"/>
      <c r="BC101" s="411"/>
      <c r="BD101" s="411"/>
      <c r="BE101" s="411"/>
      <c r="BF101" s="30"/>
      <c r="BG101" s="30"/>
      <c r="BH101" s="30"/>
      <c r="BI101" s="30"/>
      <c r="BJ101" s="30"/>
      <c r="BK101" s="30"/>
      <c r="BL101" s="30"/>
      <c r="BM101" s="30"/>
      <c r="BN101" s="30"/>
      <c r="BO101" s="259"/>
      <c r="BP101" s="259"/>
      <c r="BQ101" s="259"/>
      <c r="BR101" s="259"/>
      <c r="BS101" s="259"/>
      <c r="BT101" s="259"/>
      <c r="BU101" s="259"/>
      <c r="BV101" s="259"/>
      <c r="BW101" s="259"/>
      <c r="BX101" s="259"/>
      <c r="BY101" s="259"/>
      <c r="BZ101" s="260"/>
      <c r="CA101" s="259"/>
      <c r="CB101" s="259"/>
      <c r="CC101" s="259"/>
      <c r="CD101" s="259"/>
      <c r="CE101" s="259"/>
      <c r="CF101" s="259"/>
      <c r="CG101" s="259"/>
      <c r="CH101" s="259"/>
      <c r="CI101" s="259"/>
      <c r="CJ101" s="259"/>
      <c r="CK101" s="259"/>
      <c r="CL101" s="259"/>
      <c r="CM101" s="259"/>
      <c r="CN101" s="259"/>
      <c r="CO101" s="259"/>
      <c r="CP101" s="259"/>
      <c r="CQ101" s="259"/>
      <c r="CR101" s="259"/>
      <c r="CS101" s="259"/>
      <c r="CT101" s="259"/>
      <c r="CU101" s="259"/>
      <c r="CV101" s="259"/>
      <c r="CW101" s="259"/>
    </row>
    <row r="102">
      <c r="A102" s="411"/>
      <c r="B102" s="411"/>
      <c r="C102" s="411"/>
      <c r="D102" s="411"/>
      <c r="E102" s="411"/>
      <c r="F102" s="411"/>
      <c r="G102" s="411"/>
      <c r="H102" s="411"/>
      <c r="I102" s="411"/>
      <c r="J102" s="411"/>
      <c r="K102" s="411"/>
      <c r="L102" s="411"/>
      <c r="M102" s="411"/>
      <c r="N102" s="411"/>
      <c r="O102" s="411"/>
      <c r="P102" s="411"/>
      <c r="Q102" s="411"/>
      <c r="R102" s="411"/>
      <c r="S102" s="411"/>
      <c r="T102" s="411"/>
      <c r="U102" s="411"/>
      <c r="V102" s="411"/>
      <c r="W102" s="411"/>
      <c r="X102" s="411"/>
      <c r="Y102" s="411"/>
      <c r="Z102" s="411"/>
      <c r="AA102" s="411"/>
      <c r="AB102" s="411"/>
      <c r="AC102" s="411"/>
      <c r="AD102" s="411"/>
      <c r="AE102" s="411"/>
      <c r="AF102" s="411"/>
      <c r="AG102" s="411"/>
      <c r="AH102" s="411"/>
      <c r="AI102" s="411"/>
      <c r="AJ102" s="411"/>
      <c r="AK102" s="411"/>
      <c r="AL102" s="411"/>
      <c r="AM102" s="411"/>
      <c r="AN102" s="411"/>
      <c r="AO102" s="411"/>
      <c r="AP102" s="411"/>
      <c r="AQ102" s="411"/>
      <c r="AR102" s="411"/>
      <c r="AS102" s="411"/>
      <c r="AT102" s="411"/>
      <c r="AU102" s="411"/>
      <c r="AV102" s="411"/>
      <c r="AW102" s="411"/>
      <c r="AX102" s="411"/>
      <c r="AY102" s="411"/>
      <c r="AZ102" s="34">
        <v>2500.0</v>
      </c>
      <c r="BA102" s="34" t="s">
        <v>139</v>
      </c>
      <c r="BB102" s="411"/>
      <c r="BC102" s="411"/>
      <c r="BD102" s="411"/>
      <c r="BE102" s="411"/>
      <c r="BF102" s="30"/>
      <c r="BG102" s="30"/>
      <c r="BH102" s="30"/>
      <c r="BI102" s="30"/>
      <c r="BJ102" s="30"/>
      <c r="BK102" s="30"/>
      <c r="BL102" s="30"/>
      <c r="BM102" s="30"/>
      <c r="BN102" s="30"/>
      <c r="BO102" s="259"/>
      <c r="BP102" s="259"/>
      <c r="BQ102" s="259"/>
      <c r="BR102" s="259"/>
      <c r="BS102" s="259"/>
      <c r="BT102" s="259"/>
      <c r="BU102" s="259"/>
      <c r="BV102" s="259"/>
      <c r="BW102" s="259"/>
      <c r="BX102" s="259"/>
      <c r="BY102" s="259"/>
      <c r="BZ102" s="260"/>
      <c r="CA102" s="259"/>
      <c r="CB102" s="259"/>
      <c r="CC102" s="259"/>
      <c r="CD102" s="259"/>
      <c r="CE102" s="259"/>
      <c r="CF102" s="259"/>
      <c r="CG102" s="259"/>
      <c r="CH102" s="259"/>
      <c r="CI102" s="259"/>
      <c r="CJ102" s="259"/>
      <c r="CK102" s="259"/>
      <c r="CL102" s="259"/>
      <c r="CM102" s="259"/>
      <c r="CN102" s="259"/>
      <c r="CO102" s="259"/>
      <c r="CP102" s="259"/>
      <c r="CQ102" s="259"/>
      <c r="CR102" s="259"/>
      <c r="CS102" s="259"/>
      <c r="CT102" s="259"/>
      <c r="CU102" s="259"/>
      <c r="CV102" s="259"/>
      <c r="CW102" s="259"/>
    </row>
    <row r="103">
      <c r="A103" s="411"/>
      <c r="B103" s="411"/>
      <c r="C103" s="411"/>
      <c r="D103" s="411"/>
      <c r="E103" s="411"/>
      <c r="F103" s="411"/>
      <c r="G103" s="411"/>
      <c r="H103" s="411"/>
      <c r="I103" s="411"/>
      <c r="J103" s="411"/>
      <c r="K103" s="411"/>
      <c r="L103" s="411"/>
      <c r="M103" s="411"/>
      <c r="N103" s="411"/>
      <c r="O103" s="411"/>
      <c r="P103" s="411"/>
      <c r="Q103" s="411"/>
      <c r="R103" s="411"/>
      <c r="S103" s="411"/>
      <c r="T103" s="411"/>
      <c r="U103" s="411"/>
      <c r="V103" s="411"/>
      <c r="W103" s="411"/>
      <c r="X103" s="411"/>
      <c r="Y103" s="411"/>
      <c r="Z103" s="411"/>
      <c r="AA103" s="411"/>
      <c r="AB103" s="411"/>
      <c r="AC103" s="411"/>
      <c r="AD103" s="411"/>
      <c r="AE103" s="411"/>
      <c r="AF103" s="411"/>
      <c r="AG103" s="411"/>
      <c r="AH103" s="411"/>
      <c r="AI103" s="411"/>
      <c r="AJ103" s="411"/>
      <c r="AK103" s="411"/>
      <c r="AL103" s="411"/>
      <c r="AM103" s="411"/>
      <c r="AN103" s="411"/>
      <c r="AO103" s="411"/>
      <c r="AP103" s="411"/>
      <c r="AQ103" s="411"/>
      <c r="AR103" s="411"/>
      <c r="AS103" s="411"/>
      <c r="AT103" s="411"/>
      <c r="AU103" s="411"/>
      <c r="AV103" s="411"/>
      <c r="AW103" s="411"/>
      <c r="AX103" s="411"/>
      <c r="AY103" s="411"/>
      <c r="AZ103" s="34">
        <v>290.0</v>
      </c>
      <c r="BA103" s="34" t="s">
        <v>140</v>
      </c>
      <c r="BB103" s="411"/>
      <c r="BC103" s="411"/>
      <c r="BD103" s="411"/>
      <c r="BE103" s="411"/>
      <c r="BF103" s="30"/>
      <c r="BG103" s="30"/>
      <c r="BH103" s="30"/>
      <c r="BI103" s="30"/>
      <c r="BJ103" s="30"/>
      <c r="BK103" s="30"/>
      <c r="BL103" s="30"/>
      <c r="BM103" s="30"/>
      <c r="BN103" s="30"/>
      <c r="BO103" s="259"/>
      <c r="BP103" s="259"/>
      <c r="BQ103" s="259"/>
      <c r="BR103" s="259"/>
      <c r="BS103" s="259"/>
      <c r="BT103" s="259"/>
      <c r="BU103" s="259"/>
      <c r="BV103" s="259"/>
      <c r="BW103" s="259"/>
      <c r="BX103" s="259"/>
      <c r="BY103" s="259"/>
      <c r="BZ103" s="260"/>
      <c r="CA103" s="259"/>
      <c r="CB103" s="259"/>
      <c r="CC103" s="259"/>
      <c r="CD103" s="259"/>
      <c r="CE103" s="259"/>
      <c r="CF103" s="259"/>
      <c r="CG103" s="259"/>
      <c r="CH103" s="259"/>
      <c r="CI103" s="259"/>
      <c r="CJ103" s="259"/>
      <c r="CK103" s="259"/>
      <c r="CL103" s="259"/>
      <c r="CM103" s="259"/>
      <c r="CN103" s="259"/>
      <c r="CO103" s="259"/>
      <c r="CP103" s="259"/>
      <c r="CQ103" s="259"/>
      <c r="CR103" s="259"/>
      <c r="CS103" s="259"/>
      <c r="CT103" s="259"/>
      <c r="CU103" s="259"/>
      <c r="CV103" s="259"/>
      <c r="CW103" s="259"/>
    </row>
    <row r="104">
      <c r="A104" s="411"/>
      <c r="B104" s="411"/>
      <c r="C104" s="411"/>
      <c r="D104" s="411"/>
      <c r="E104" s="411"/>
      <c r="F104" s="411"/>
      <c r="G104" s="411"/>
      <c r="H104" s="411"/>
      <c r="I104" s="411"/>
      <c r="J104" s="411"/>
      <c r="K104" s="411"/>
      <c r="L104" s="411"/>
      <c r="M104" s="411"/>
      <c r="N104" s="411"/>
      <c r="O104" s="411"/>
      <c r="P104" s="411"/>
      <c r="Q104" s="411"/>
      <c r="R104" s="411"/>
      <c r="S104" s="411"/>
      <c r="T104" s="411"/>
      <c r="U104" s="411"/>
      <c r="V104" s="411"/>
      <c r="W104" s="411"/>
      <c r="X104" s="411"/>
      <c r="Y104" s="411"/>
      <c r="Z104" s="411"/>
      <c r="AA104" s="411"/>
      <c r="AB104" s="411"/>
      <c r="AC104" s="411"/>
      <c r="AD104" s="411"/>
      <c r="AE104" s="411"/>
      <c r="AF104" s="411"/>
      <c r="AG104" s="411"/>
      <c r="AH104" s="411"/>
      <c r="AI104" s="411"/>
      <c r="AJ104" s="411"/>
      <c r="AK104" s="411"/>
      <c r="AL104" s="411"/>
      <c r="AM104" s="411"/>
      <c r="AN104" s="411"/>
      <c r="AO104" s="411"/>
      <c r="AP104" s="411"/>
      <c r="AQ104" s="411"/>
      <c r="AR104" s="411"/>
      <c r="AS104" s="411"/>
      <c r="AT104" s="411"/>
      <c r="AU104" s="411"/>
      <c r="AV104" s="411"/>
      <c r="AW104" s="411"/>
      <c r="AX104" s="411"/>
      <c r="AY104" s="411"/>
      <c r="AZ104" s="34">
        <v>350.0</v>
      </c>
      <c r="BA104" s="34" t="s">
        <v>141</v>
      </c>
      <c r="BB104" s="411"/>
      <c r="BC104" s="411"/>
      <c r="BD104" s="411"/>
      <c r="BE104" s="411"/>
      <c r="BF104" s="30"/>
      <c r="BG104" s="30"/>
      <c r="BH104" s="30"/>
      <c r="BI104" s="30"/>
      <c r="BJ104" s="30"/>
      <c r="BK104" s="30"/>
      <c r="BL104" s="30"/>
      <c r="BM104" s="30"/>
      <c r="BN104" s="30"/>
      <c r="BO104" s="259"/>
      <c r="BP104" s="259"/>
      <c r="BQ104" s="259"/>
      <c r="BR104" s="259"/>
      <c r="BS104" s="259"/>
      <c r="BT104" s="259"/>
      <c r="BU104" s="259"/>
      <c r="BV104" s="259"/>
      <c r="BW104" s="259"/>
      <c r="BX104" s="259"/>
      <c r="BY104" s="259"/>
      <c r="BZ104" s="260"/>
      <c r="CA104" s="259"/>
      <c r="CB104" s="259"/>
      <c r="CC104" s="259"/>
      <c r="CD104" s="259"/>
      <c r="CE104" s="259"/>
      <c r="CF104" s="259"/>
      <c r="CG104" s="259"/>
      <c r="CH104" s="259"/>
      <c r="CI104" s="259"/>
      <c r="CJ104" s="259"/>
      <c r="CK104" s="259"/>
      <c r="CL104" s="259"/>
      <c r="CM104" s="259"/>
      <c r="CN104" s="259"/>
      <c r="CO104" s="259"/>
      <c r="CP104" s="259"/>
      <c r="CQ104" s="259"/>
      <c r="CR104" s="259"/>
      <c r="CS104" s="259"/>
      <c r="CT104" s="259"/>
      <c r="CU104" s="259"/>
      <c r="CV104" s="259"/>
      <c r="CW104" s="259"/>
    </row>
    <row r="105">
      <c r="A105" s="411"/>
      <c r="B105" s="411"/>
      <c r="C105" s="411"/>
      <c r="D105" s="411"/>
      <c r="E105" s="411"/>
      <c r="F105" s="411"/>
      <c r="G105" s="411"/>
      <c r="H105" s="411"/>
      <c r="I105" s="411"/>
      <c r="J105" s="411"/>
      <c r="K105" s="411"/>
      <c r="L105" s="411"/>
      <c r="M105" s="411"/>
      <c r="N105" s="411"/>
      <c r="O105" s="411"/>
      <c r="P105" s="411"/>
      <c r="Q105" s="411"/>
      <c r="R105" s="411"/>
      <c r="S105" s="411"/>
      <c r="T105" s="411"/>
      <c r="U105" s="411"/>
      <c r="V105" s="411"/>
      <c r="W105" s="411"/>
      <c r="X105" s="411"/>
      <c r="Y105" s="411"/>
      <c r="Z105" s="411"/>
      <c r="AA105" s="411"/>
      <c r="AB105" s="411"/>
      <c r="AC105" s="411"/>
      <c r="AD105" s="411"/>
      <c r="AE105" s="411"/>
      <c r="AF105" s="411"/>
      <c r="AG105" s="411"/>
      <c r="AH105" s="411"/>
      <c r="AI105" s="411"/>
      <c r="AJ105" s="411"/>
      <c r="AK105" s="411"/>
      <c r="AL105" s="411"/>
      <c r="AM105" s="411"/>
      <c r="AN105" s="411"/>
      <c r="AO105" s="411"/>
      <c r="AP105" s="411"/>
      <c r="AQ105" s="411"/>
      <c r="AR105" s="411"/>
      <c r="AS105" s="411"/>
      <c r="AT105" s="411"/>
      <c r="AU105" s="411"/>
      <c r="AV105" s="411"/>
      <c r="AW105" s="411"/>
      <c r="AX105" s="411"/>
      <c r="AY105" s="411"/>
      <c r="AZ105" s="34">
        <v>1700.0</v>
      </c>
      <c r="BA105" s="34" t="s">
        <v>142</v>
      </c>
      <c r="BB105" s="411"/>
      <c r="BC105" s="411"/>
      <c r="BD105" s="411"/>
      <c r="BE105" s="411"/>
      <c r="BF105" s="30"/>
      <c r="BG105" s="30"/>
      <c r="BH105" s="30"/>
      <c r="BI105" s="30"/>
      <c r="BJ105" s="30"/>
      <c r="BK105" s="30"/>
      <c r="BL105" s="30"/>
      <c r="BM105" s="30"/>
      <c r="BN105" s="30"/>
      <c r="BO105" s="259"/>
      <c r="BP105" s="259"/>
      <c r="BQ105" s="259"/>
      <c r="BR105" s="259"/>
      <c r="BS105" s="259"/>
      <c r="BT105" s="259"/>
      <c r="BU105" s="259"/>
      <c r="BV105" s="259"/>
      <c r="BW105" s="259"/>
      <c r="BX105" s="259"/>
      <c r="BY105" s="259"/>
      <c r="BZ105" s="260"/>
      <c r="CA105" s="259"/>
      <c r="CB105" s="259"/>
      <c r="CC105" s="259"/>
      <c r="CD105" s="259"/>
      <c r="CE105" s="259"/>
      <c r="CF105" s="259"/>
      <c r="CG105" s="259"/>
      <c r="CH105" s="259"/>
      <c r="CI105" s="259"/>
      <c r="CJ105" s="259"/>
      <c r="CK105" s="259"/>
      <c r="CL105" s="259"/>
      <c r="CM105" s="259"/>
      <c r="CN105" s="259"/>
      <c r="CO105" s="259"/>
      <c r="CP105" s="259"/>
      <c r="CQ105" s="259"/>
      <c r="CR105" s="259"/>
      <c r="CS105" s="259"/>
      <c r="CT105" s="259"/>
      <c r="CU105" s="259"/>
      <c r="CV105" s="259"/>
      <c r="CW105" s="259"/>
    </row>
    <row r="106">
      <c r="A106" s="411"/>
      <c r="B106" s="411"/>
      <c r="C106" s="411"/>
      <c r="D106" s="411"/>
      <c r="E106" s="411"/>
      <c r="F106" s="411"/>
      <c r="G106" s="411"/>
      <c r="H106" s="411"/>
      <c r="I106" s="411"/>
      <c r="J106" s="411"/>
      <c r="K106" s="411"/>
      <c r="L106" s="411"/>
      <c r="M106" s="411"/>
      <c r="N106" s="411"/>
      <c r="O106" s="411"/>
      <c r="P106" s="411"/>
      <c r="Q106" s="411"/>
      <c r="R106" s="411"/>
      <c r="S106" s="411"/>
      <c r="T106" s="411"/>
      <c r="U106" s="411"/>
      <c r="V106" s="411"/>
      <c r="W106" s="411"/>
      <c r="X106" s="411"/>
      <c r="Y106" s="411"/>
      <c r="Z106" s="411"/>
      <c r="AA106" s="411"/>
      <c r="AB106" s="411"/>
      <c r="AC106" s="411"/>
      <c r="AD106" s="411"/>
      <c r="AE106" s="411"/>
      <c r="AF106" s="411"/>
      <c r="AG106" s="411"/>
      <c r="AH106" s="411"/>
      <c r="AI106" s="411"/>
      <c r="AJ106" s="411"/>
      <c r="AK106" s="411"/>
      <c r="AL106" s="411"/>
      <c r="AM106" s="411"/>
      <c r="AN106" s="411"/>
      <c r="AO106" s="411"/>
      <c r="AP106" s="411"/>
      <c r="AQ106" s="411"/>
      <c r="AR106" s="411"/>
      <c r="AS106" s="411"/>
      <c r="AT106" s="411"/>
      <c r="AU106" s="411"/>
      <c r="AV106" s="411"/>
      <c r="AW106" s="411"/>
      <c r="AX106" s="411"/>
      <c r="AY106" s="411"/>
      <c r="AZ106" s="34">
        <v>20000.0</v>
      </c>
      <c r="BA106" s="34" t="s">
        <v>143</v>
      </c>
      <c r="BB106" s="411"/>
      <c r="BC106" s="411"/>
      <c r="BD106" s="411"/>
      <c r="BE106" s="411"/>
      <c r="BF106" s="30"/>
      <c r="BG106" s="30"/>
      <c r="BH106" s="30"/>
      <c r="BI106" s="30"/>
      <c r="BJ106" s="30"/>
      <c r="BK106" s="30"/>
      <c r="BL106" s="30"/>
      <c r="BM106" s="30"/>
      <c r="BN106" s="30"/>
      <c r="BO106" s="259"/>
      <c r="BP106" s="259"/>
      <c r="BQ106" s="259"/>
      <c r="BR106" s="259"/>
      <c r="BS106" s="259"/>
      <c r="BT106" s="259"/>
      <c r="BU106" s="259"/>
      <c r="BV106" s="259"/>
      <c r="BW106" s="259"/>
      <c r="BX106" s="259"/>
      <c r="BY106" s="259"/>
      <c r="BZ106" s="260"/>
      <c r="CA106" s="259"/>
      <c r="CB106" s="259"/>
      <c r="CC106" s="259"/>
      <c r="CD106" s="259"/>
      <c r="CE106" s="259"/>
      <c r="CF106" s="259"/>
      <c r="CG106" s="259"/>
      <c r="CH106" s="259"/>
      <c r="CI106" s="259"/>
      <c r="CJ106" s="259"/>
      <c r="CK106" s="259"/>
      <c r="CL106" s="259"/>
      <c r="CM106" s="259"/>
      <c r="CN106" s="259"/>
      <c r="CO106" s="259"/>
      <c r="CP106" s="259"/>
      <c r="CQ106" s="259"/>
      <c r="CR106" s="259"/>
      <c r="CS106" s="259"/>
      <c r="CT106" s="259"/>
      <c r="CU106" s="259"/>
      <c r="CV106" s="259"/>
      <c r="CW106" s="259"/>
    </row>
    <row r="107">
      <c r="A107" s="411"/>
      <c r="B107" s="411"/>
      <c r="C107" s="411"/>
      <c r="D107" s="411"/>
      <c r="E107" s="411"/>
      <c r="F107" s="411"/>
      <c r="G107" s="411"/>
      <c r="H107" s="411"/>
      <c r="I107" s="411"/>
      <c r="J107" s="411"/>
      <c r="K107" s="411"/>
      <c r="L107" s="411"/>
      <c r="M107" s="411"/>
      <c r="N107" s="411"/>
      <c r="O107" s="411"/>
      <c r="P107" s="411"/>
      <c r="Q107" s="411"/>
      <c r="R107" s="411"/>
      <c r="S107" s="411"/>
      <c r="T107" s="411"/>
      <c r="U107" s="411"/>
      <c r="V107" s="411"/>
      <c r="W107" s="411"/>
      <c r="X107" s="411"/>
      <c r="Y107" s="411"/>
      <c r="Z107" s="411"/>
      <c r="AA107" s="411"/>
      <c r="AB107" s="411"/>
      <c r="AC107" s="411"/>
      <c r="AD107" s="411"/>
      <c r="AE107" s="411"/>
      <c r="AF107" s="411"/>
      <c r="AG107" s="411"/>
      <c r="AH107" s="411"/>
      <c r="AI107" s="411"/>
      <c r="AJ107" s="411"/>
      <c r="AK107" s="411"/>
      <c r="AL107" s="411"/>
      <c r="AM107" s="411"/>
      <c r="AN107" s="411"/>
      <c r="AO107" s="411"/>
      <c r="AP107" s="411"/>
      <c r="AQ107" s="411"/>
      <c r="AR107" s="411"/>
      <c r="AS107" s="411"/>
      <c r="AT107" s="411"/>
      <c r="AU107" s="411"/>
      <c r="AV107" s="411"/>
      <c r="AW107" s="411"/>
      <c r="AX107" s="411"/>
      <c r="AY107" s="411"/>
      <c r="AZ107" s="34"/>
      <c r="BA107" s="34"/>
      <c r="BB107" s="411"/>
      <c r="BC107" s="411"/>
      <c r="BD107" s="411"/>
      <c r="BE107" s="411"/>
      <c r="BF107" s="30"/>
      <c r="BG107" s="30"/>
      <c r="BH107" s="30"/>
      <c r="BI107" s="30"/>
      <c r="BJ107" s="30"/>
      <c r="BK107" s="30"/>
      <c r="BL107" s="30"/>
      <c r="BM107" s="30"/>
      <c r="BN107" s="30"/>
      <c r="BO107" s="259"/>
      <c r="BP107" s="259"/>
      <c r="BQ107" s="259"/>
      <c r="BR107" s="259"/>
      <c r="BS107" s="259"/>
      <c r="BT107" s="259"/>
      <c r="BU107" s="259"/>
      <c r="BV107" s="259"/>
      <c r="BW107" s="259"/>
      <c r="BX107" s="259"/>
      <c r="BY107" s="259"/>
      <c r="BZ107" s="260"/>
      <c r="CA107" s="259"/>
      <c r="CB107" s="259"/>
      <c r="CC107" s="259"/>
      <c r="CD107" s="259"/>
      <c r="CE107" s="259"/>
      <c r="CF107" s="259"/>
      <c r="CG107" s="259"/>
      <c r="CH107" s="259"/>
      <c r="CI107" s="259"/>
      <c r="CJ107" s="259"/>
      <c r="CK107" s="259"/>
      <c r="CL107" s="259"/>
      <c r="CM107" s="259"/>
      <c r="CN107" s="259"/>
      <c r="CO107" s="259"/>
      <c r="CP107" s="259"/>
      <c r="CQ107" s="259"/>
      <c r="CR107" s="259"/>
      <c r="CS107" s="259"/>
      <c r="CT107" s="259"/>
      <c r="CU107" s="259"/>
      <c r="CV107" s="259"/>
      <c r="CW107" s="259"/>
    </row>
    <row r="108">
      <c r="A108" s="411"/>
      <c r="B108" s="411"/>
      <c r="C108" s="411"/>
      <c r="D108" s="411"/>
      <c r="E108" s="411"/>
      <c r="F108" s="411"/>
      <c r="G108" s="411"/>
      <c r="H108" s="411"/>
      <c r="I108" s="411"/>
      <c r="J108" s="411"/>
      <c r="K108" s="411"/>
      <c r="L108" s="411"/>
      <c r="M108" s="411"/>
      <c r="N108" s="411"/>
      <c r="O108" s="411"/>
      <c r="P108" s="411"/>
      <c r="Q108" s="411"/>
      <c r="R108" s="411"/>
      <c r="S108" s="411"/>
      <c r="T108" s="411"/>
      <c r="U108" s="411"/>
      <c r="V108" s="411"/>
      <c r="W108" s="411"/>
      <c r="X108" s="411"/>
      <c r="Y108" s="411"/>
      <c r="Z108" s="411"/>
      <c r="AA108" s="411"/>
      <c r="AB108" s="411"/>
      <c r="AC108" s="411"/>
      <c r="AD108" s="411"/>
      <c r="AE108" s="411"/>
      <c r="AF108" s="411"/>
      <c r="AG108" s="411"/>
      <c r="AH108" s="411"/>
      <c r="AI108" s="411"/>
      <c r="AJ108" s="411"/>
      <c r="AK108" s="411"/>
      <c r="AL108" s="411"/>
      <c r="AM108" s="411"/>
      <c r="AN108" s="411"/>
      <c r="AO108" s="411"/>
      <c r="AP108" s="411"/>
      <c r="AQ108" s="411"/>
      <c r="AR108" s="411"/>
      <c r="AS108" s="411"/>
      <c r="AT108" s="411"/>
      <c r="AU108" s="411"/>
      <c r="AV108" s="411"/>
      <c r="AW108" s="411"/>
      <c r="AX108" s="411"/>
      <c r="AY108" s="411"/>
      <c r="AZ108" s="411"/>
      <c r="BA108" s="411"/>
      <c r="BB108" s="411"/>
      <c r="BC108" s="411"/>
      <c r="BD108" s="411"/>
      <c r="BE108" s="411"/>
      <c r="BF108" s="30"/>
      <c r="BG108" s="30"/>
      <c r="BH108" s="30"/>
      <c r="BI108" s="30"/>
      <c r="BJ108" s="30"/>
      <c r="BK108" s="30"/>
      <c r="BL108" s="30"/>
      <c r="BM108" s="30"/>
      <c r="BN108" s="30"/>
      <c r="BO108" s="259"/>
      <c r="BP108" s="259"/>
      <c r="BQ108" s="259"/>
      <c r="BR108" s="259"/>
      <c r="BS108" s="259"/>
      <c r="BT108" s="259"/>
      <c r="BU108" s="259"/>
      <c r="BV108" s="259"/>
      <c r="BW108" s="259"/>
      <c r="BX108" s="259"/>
      <c r="BY108" s="259"/>
      <c r="BZ108" s="260"/>
      <c r="CA108" s="259"/>
      <c r="CB108" s="259"/>
      <c r="CC108" s="259"/>
      <c r="CD108" s="259"/>
      <c r="CE108" s="259"/>
      <c r="CF108" s="259"/>
      <c r="CG108" s="259"/>
      <c r="CH108" s="259"/>
      <c r="CI108" s="259"/>
      <c r="CJ108" s="259"/>
      <c r="CK108" s="259"/>
      <c r="CL108" s="259"/>
      <c r="CM108" s="259"/>
      <c r="CN108" s="259"/>
      <c r="CO108" s="259"/>
      <c r="CP108" s="259"/>
      <c r="CQ108" s="259"/>
      <c r="CR108" s="259"/>
      <c r="CS108" s="259"/>
      <c r="CT108" s="259"/>
      <c r="CU108" s="259"/>
      <c r="CV108" s="259"/>
      <c r="CW108" s="259"/>
    </row>
    <row r="109">
      <c r="A109" s="411"/>
      <c r="B109" s="411"/>
      <c r="C109" s="411"/>
      <c r="D109" s="411"/>
      <c r="E109" s="411"/>
      <c r="F109" s="411"/>
      <c r="G109" s="411"/>
      <c r="H109" s="411"/>
      <c r="I109" s="411"/>
      <c r="J109" s="411"/>
      <c r="K109" s="411"/>
      <c r="L109" s="411"/>
      <c r="M109" s="411"/>
      <c r="N109" s="411"/>
      <c r="O109" s="411"/>
      <c r="P109" s="411"/>
      <c r="Q109" s="411"/>
      <c r="R109" s="411"/>
      <c r="S109" s="411"/>
      <c r="T109" s="411"/>
      <c r="U109" s="411"/>
      <c r="V109" s="411"/>
      <c r="W109" s="411"/>
      <c r="X109" s="411"/>
      <c r="Y109" s="411"/>
      <c r="Z109" s="411"/>
      <c r="AA109" s="411"/>
      <c r="AB109" s="411"/>
      <c r="AC109" s="411"/>
      <c r="AD109" s="411"/>
      <c r="AE109" s="411"/>
      <c r="AF109" s="411"/>
      <c r="AG109" s="411"/>
      <c r="AH109" s="411"/>
      <c r="AI109" s="411"/>
      <c r="AJ109" s="411"/>
      <c r="AK109" s="411"/>
      <c r="AL109" s="411"/>
      <c r="AM109" s="411"/>
      <c r="AN109" s="411"/>
      <c r="AO109" s="411"/>
      <c r="AP109" s="411"/>
      <c r="AQ109" s="411"/>
      <c r="AR109" s="411"/>
      <c r="AS109" s="411"/>
      <c r="AT109" s="411"/>
      <c r="AU109" s="411"/>
      <c r="AV109" s="411"/>
      <c r="AW109" s="411"/>
      <c r="AX109" s="411"/>
      <c r="AY109" s="411"/>
      <c r="AZ109" s="411">
        <f>SUM(AZ89:AZ108)</f>
        <v>50483</v>
      </c>
      <c r="BA109" s="411"/>
      <c r="BB109" s="411"/>
      <c r="BC109" s="411"/>
      <c r="BD109" s="411"/>
      <c r="BE109" s="411"/>
      <c r="BF109" s="30"/>
      <c r="BG109" s="30"/>
      <c r="BH109" s="30"/>
      <c r="BI109" s="30"/>
      <c r="BJ109" s="30"/>
      <c r="BK109" s="30"/>
      <c r="BL109" s="30"/>
      <c r="BM109" s="30"/>
      <c r="BN109" s="30"/>
      <c r="BO109" s="259"/>
      <c r="BP109" s="259"/>
      <c r="BQ109" s="259"/>
      <c r="BR109" s="259"/>
      <c r="BS109" s="259"/>
      <c r="BT109" s="259"/>
      <c r="BU109" s="259"/>
      <c r="BV109" s="259"/>
      <c r="BW109" s="259"/>
      <c r="BX109" s="259"/>
      <c r="BY109" s="259"/>
      <c r="BZ109" s="260"/>
      <c r="CA109" s="259"/>
      <c r="CB109" s="259"/>
      <c r="CC109" s="259"/>
      <c r="CD109" s="259"/>
      <c r="CE109" s="259"/>
      <c r="CF109" s="259"/>
      <c r="CG109" s="259"/>
      <c r="CH109" s="259"/>
      <c r="CI109" s="259"/>
      <c r="CJ109" s="259"/>
      <c r="CK109" s="259"/>
      <c r="CL109" s="259"/>
      <c r="CM109" s="259"/>
      <c r="CN109" s="259"/>
      <c r="CO109" s="259"/>
      <c r="CP109" s="259"/>
      <c r="CQ109" s="259"/>
      <c r="CR109" s="259"/>
      <c r="CS109" s="259"/>
      <c r="CT109" s="259"/>
      <c r="CU109" s="259"/>
      <c r="CV109" s="259"/>
      <c r="CW109" s="259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259"/>
      <c r="BP110" s="259"/>
      <c r="BQ110" s="259"/>
      <c r="BR110" s="259"/>
      <c r="BS110" s="259"/>
      <c r="BT110" s="259"/>
      <c r="BU110" s="259"/>
      <c r="BV110" s="259"/>
      <c r="BW110" s="259"/>
      <c r="BX110" s="259"/>
      <c r="BY110" s="259"/>
      <c r="BZ110" s="260"/>
      <c r="CA110" s="259"/>
      <c r="CB110" s="259"/>
      <c r="CC110" s="259"/>
      <c r="CD110" s="259"/>
      <c r="CE110" s="259"/>
      <c r="CF110" s="259"/>
      <c r="CG110" s="259"/>
      <c r="CH110" s="259"/>
      <c r="CI110" s="259"/>
      <c r="CJ110" s="259"/>
      <c r="CK110" s="259"/>
      <c r="CL110" s="259"/>
      <c r="CM110" s="259"/>
      <c r="CN110" s="259"/>
      <c r="CO110" s="259"/>
      <c r="CP110" s="259"/>
      <c r="CQ110" s="259"/>
      <c r="CR110" s="259"/>
      <c r="CS110" s="259"/>
      <c r="CT110" s="259"/>
      <c r="CU110" s="259"/>
      <c r="CV110" s="259"/>
      <c r="CW110" s="259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259"/>
      <c r="BP111" s="259"/>
      <c r="BQ111" s="259"/>
      <c r="BR111" s="259"/>
      <c r="BS111" s="259"/>
      <c r="BT111" s="259"/>
      <c r="BU111" s="259"/>
      <c r="BV111" s="259"/>
      <c r="BW111" s="259"/>
      <c r="BX111" s="259"/>
      <c r="BY111" s="259"/>
      <c r="BZ111" s="260"/>
      <c r="CA111" s="259"/>
      <c r="CB111" s="259"/>
      <c r="CC111" s="259"/>
      <c r="CD111" s="259"/>
      <c r="CE111" s="259"/>
      <c r="CF111" s="259"/>
      <c r="CG111" s="259"/>
      <c r="CH111" s="259"/>
      <c r="CI111" s="259"/>
      <c r="CJ111" s="259"/>
      <c r="CK111" s="259"/>
      <c r="CL111" s="259"/>
      <c r="CM111" s="259"/>
      <c r="CN111" s="259"/>
      <c r="CO111" s="259"/>
      <c r="CP111" s="259"/>
      <c r="CQ111" s="259"/>
      <c r="CR111" s="259"/>
      <c r="CS111" s="259"/>
      <c r="CT111" s="259"/>
      <c r="CU111" s="259"/>
      <c r="CV111" s="259"/>
      <c r="CW111" s="259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259"/>
      <c r="BP112" s="259"/>
      <c r="BQ112" s="259"/>
      <c r="BR112" s="259"/>
      <c r="BS112" s="259"/>
      <c r="BT112" s="259"/>
      <c r="BU112" s="259"/>
      <c r="BV112" s="259"/>
      <c r="BW112" s="259"/>
      <c r="BX112" s="259"/>
      <c r="BY112" s="259"/>
      <c r="BZ112" s="260"/>
      <c r="CA112" s="259"/>
      <c r="CB112" s="259"/>
      <c r="CC112" s="259"/>
      <c r="CD112" s="259"/>
      <c r="CE112" s="259"/>
      <c r="CF112" s="259"/>
      <c r="CG112" s="259"/>
      <c r="CH112" s="259"/>
      <c r="CI112" s="259"/>
      <c r="CJ112" s="259"/>
      <c r="CK112" s="259"/>
      <c r="CL112" s="259"/>
      <c r="CM112" s="259"/>
      <c r="CN112" s="259"/>
      <c r="CO112" s="259"/>
      <c r="CP112" s="259"/>
      <c r="CQ112" s="259"/>
      <c r="CR112" s="259"/>
      <c r="CS112" s="259"/>
      <c r="CT112" s="259"/>
      <c r="CU112" s="259"/>
      <c r="CV112" s="259"/>
      <c r="CW112" s="259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259"/>
      <c r="BP113" s="259"/>
      <c r="BQ113" s="259"/>
      <c r="BR113" s="259"/>
      <c r="BS113" s="259"/>
      <c r="BT113" s="259"/>
      <c r="BU113" s="259"/>
      <c r="BV113" s="259"/>
      <c r="BW113" s="259"/>
      <c r="BX113" s="259"/>
      <c r="BY113" s="259"/>
      <c r="BZ113" s="260"/>
      <c r="CA113" s="259"/>
      <c r="CB113" s="259"/>
      <c r="CC113" s="259"/>
      <c r="CD113" s="259"/>
      <c r="CE113" s="259"/>
      <c r="CF113" s="259"/>
      <c r="CG113" s="259"/>
      <c r="CH113" s="259"/>
      <c r="CI113" s="259"/>
      <c r="CJ113" s="259"/>
      <c r="CK113" s="259"/>
      <c r="CL113" s="259"/>
      <c r="CM113" s="259"/>
      <c r="CN113" s="259"/>
      <c r="CO113" s="259"/>
      <c r="CP113" s="259"/>
      <c r="CQ113" s="259"/>
      <c r="CR113" s="259"/>
      <c r="CS113" s="259"/>
      <c r="CT113" s="259"/>
      <c r="CU113" s="259"/>
      <c r="CV113" s="259"/>
      <c r="CW113" s="259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259"/>
      <c r="BP114" s="259"/>
      <c r="BQ114" s="259"/>
      <c r="BR114" s="259"/>
      <c r="BS114" s="259"/>
      <c r="BT114" s="259"/>
      <c r="BU114" s="259"/>
      <c r="BV114" s="259"/>
      <c r="BW114" s="259"/>
      <c r="BX114" s="259"/>
      <c r="BY114" s="259"/>
      <c r="BZ114" s="260"/>
      <c r="CA114" s="259"/>
      <c r="CB114" s="259"/>
      <c r="CC114" s="259"/>
      <c r="CD114" s="259"/>
      <c r="CE114" s="259"/>
      <c r="CF114" s="259"/>
      <c r="CG114" s="259"/>
      <c r="CH114" s="259"/>
      <c r="CI114" s="259"/>
      <c r="CJ114" s="259"/>
      <c r="CK114" s="259"/>
      <c r="CL114" s="259"/>
      <c r="CM114" s="259"/>
      <c r="CN114" s="259"/>
      <c r="CO114" s="259"/>
      <c r="CP114" s="259"/>
      <c r="CQ114" s="259"/>
      <c r="CR114" s="259"/>
      <c r="CS114" s="259"/>
      <c r="CT114" s="259"/>
      <c r="CU114" s="259"/>
      <c r="CV114" s="259"/>
      <c r="CW114" s="259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259"/>
      <c r="BP115" s="259"/>
      <c r="BQ115" s="259"/>
      <c r="BR115" s="259"/>
      <c r="BS115" s="259"/>
      <c r="BT115" s="259"/>
      <c r="BU115" s="259"/>
      <c r="BV115" s="259"/>
      <c r="BW115" s="259"/>
      <c r="BX115" s="259"/>
      <c r="BY115" s="259"/>
      <c r="BZ115" s="260"/>
      <c r="CA115" s="259"/>
      <c r="CB115" s="259"/>
      <c r="CC115" s="259"/>
      <c r="CD115" s="259"/>
      <c r="CE115" s="259"/>
      <c r="CF115" s="259"/>
      <c r="CG115" s="259"/>
      <c r="CH115" s="259"/>
      <c r="CI115" s="259"/>
      <c r="CJ115" s="259"/>
      <c r="CK115" s="259"/>
      <c r="CL115" s="259"/>
      <c r="CM115" s="259"/>
      <c r="CN115" s="259"/>
      <c r="CO115" s="259"/>
      <c r="CP115" s="259"/>
      <c r="CQ115" s="259"/>
      <c r="CR115" s="259"/>
      <c r="CS115" s="259"/>
      <c r="CT115" s="259"/>
      <c r="CU115" s="259"/>
      <c r="CV115" s="259"/>
      <c r="CW115" s="259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259"/>
      <c r="BP116" s="259"/>
      <c r="BQ116" s="259"/>
      <c r="BR116" s="259"/>
      <c r="BS116" s="259"/>
      <c r="BT116" s="259"/>
      <c r="BU116" s="259"/>
      <c r="BV116" s="259"/>
      <c r="BW116" s="259"/>
      <c r="BX116" s="259"/>
      <c r="BY116" s="259"/>
      <c r="BZ116" s="260"/>
      <c r="CA116" s="259"/>
      <c r="CB116" s="259"/>
      <c r="CC116" s="259"/>
      <c r="CD116" s="259"/>
      <c r="CE116" s="259"/>
      <c r="CF116" s="259"/>
      <c r="CG116" s="259"/>
      <c r="CH116" s="259"/>
      <c r="CI116" s="259"/>
      <c r="CJ116" s="259"/>
      <c r="CK116" s="259"/>
      <c r="CL116" s="259"/>
      <c r="CM116" s="259"/>
      <c r="CN116" s="259"/>
      <c r="CO116" s="259"/>
      <c r="CP116" s="259"/>
      <c r="CQ116" s="259"/>
      <c r="CR116" s="259"/>
      <c r="CS116" s="259"/>
      <c r="CT116" s="259"/>
      <c r="CU116" s="259"/>
      <c r="CV116" s="259"/>
      <c r="CW116" s="259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259"/>
      <c r="BP117" s="259"/>
      <c r="BQ117" s="259"/>
      <c r="BR117" s="259"/>
      <c r="BS117" s="259"/>
      <c r="BT117" s="259"/>
      <c r="BU117" s="259"/>
      <c r="BV117" s="259"/>
      <c r="BW117" s="259"/>
      <c r="BX117" s="259"/>
      <c r="BY117" s="259"/>
      <c r="BZ117" s="260"/>
      <c r="CA117" s="259"/>
      <c r="CB117" s="259"/>
      <c r="CC117" s="259"/>
      <c r="CD117" s="259"/>
      <c r="CE117" s="259"/>
      <c r="CF117" s="259"/>
      <c r="CG117" s="259"/>
      <c r="CH117" s="259"/>
      <c r="CI117" s="259"/>
      <c r="CJ117" s="259"/>
      <c r="CK117" s="259"/>
      <c r="CL117" s="259"/>
      <c r="CM117" s="259"/>
      <c r="CN117" s="259"/>
      <c r="CO117" s="259"/>
      <c r="CP117" s="259"/>
      <c r="CQ117" s="259"/>
      <c r="CR117" s="259"/>
      <c r="CS117" s="259"/>
      <c r="CT117" s="259"/>
      <c r="CU117" s="259"/>
      <c r="CV117" s="259"/>
      <c r="CW117" s="259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259"/>
      <c r="BP118" s="259"/>
      <c r="BQ118" s="259"/>
      <c r="BR118" s="259"/>
      <c r="BS118" s="259"/>
      <c r="BT118" s="259"/>
      <c r="BU118" s="259"/>
      <c r="BV118" s="259"/>
      <c r="BW118" s="259"/>
      <c r="BX118" s="259"/>
      <c r="BY118" s="259"/>
      <c r="BZ118" s="260"/>
      <c r="CA118" s="259"/>
      <c r="CB118" s="259"/>
      <c r="CC118" s="259"/>
      <c r="CD118" s="259"/>
      <c r="CE118" s="259"/>
      <c r="CF118" s="259"/>
      <c r="CG118" s="259"/>
      <c r="CH118" s="259"/>
      <c r="CI118" s="259"/>
      <c r="CJ118" s="259"/>
      <c r="CK118" s="259"/>
      <c r="CL118" s="259"/>
      <c r="CM118" s="259"/>
      <c r="CN118" s="259"/>
      <c r="CO118" s="259"/>
      <c r="CP118" s="259"/>
      <c r="CQ118" s="259"/>
      <c r="CR118" s="259"/>
      <c r="CS118" s="259"/>
      <c r="CT118" s="259"/>
      <c r="CU118" s="259"/>
      <c r="CV118" s="259"/>
      <c r="CW118" s="259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259"/>
      <c r="BP119" s="259"/>
      <c r="BQ119" s="259"/>
      <c r="BR119" s="259"/>
      <c r="BS119" s="259"/>
      <c r="BT119" s="259"/>
      <c r="BU119" s="259"/>
      <c r="BV119" s="259"/>
      <c r="BW119" s="259"/>
      <c r="BX119" s="259"/>
      <c r="BY119" s="259"/>
      <c r="BZ119" s="260"/>
      <c r="CA119" s="259"/>
      <c r="CB119" s="259"/>
      <c r="CC119" s="259"/>
      <c r="CD119" s="259"/>
      <c r="CE119" s="259"/>
      <c r="CF119" s="259"/>
      <c r="CG119" s="259"/>
      <c r="CH119" s="259"/>
      <c r="CI119" s="259"/>
      <c r="CJ119" s="259"/>
      <c r="CK119" s="259"/>
      <c r="CL119" s="259"/>
      <c r="CM119" s="259"/>
      <c r="CN119" s="259"/>
      <c r="CO119" s="259"/>
      <c r="CP119" s="259"/>
      <c r="CQ119" s="259"/>
      <c r="CR119" s="259"/>
      <c r="CS119" s="259"/>
      <c r="CT119" s="259"/>
      <c r="CU119" s="259"/>
      <c r="CV119" s="259"/>
      <c r="CW119" s="259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259"/>
      <c r="BP120" s="259"/>
      <c r="BQ120" s="259"/>
      <c r="BR120" s="259"/>
      <c r="BS120" s="259"/>
      <c r="BT120" s="259"/>
      <c r="BU120" s="259"/>
      <c r="BV120" s="259"/>
      <c r="BW120" s="259"/>
      <c r="BX120" s="259"/>
      <c r="BY120" s="259"/>
      <c r="BZ120" s="260"/>
      <c r="CA120" s="259"/>
      <c r="CB120" s="259"/>
      <c r="CC120" s="259"/>
      <c r="CD120" s="259"/>
      <c r="CE120" s="259"/>
      <c r="CF120" s="259"/>
      <c r="CG120" s="259"/>
      <c r="CH120" s="259"/>
      <c r="CI120" s="259"/>
      <c r="CJ120" s="259"/>
      <c r="CK120" s="259"/>
      <c r="CL120" s="259"/>
      <c r="CM120" s="259"/>
      <c r="CN120" s="259"/>
      <c r="CO120" s="259"/>
      <c r="CP120" s="259"/>
      <c r="CQ120" s="259"/>
      <c r="CR120" s="259"/>
      <c r="CS120" s="259"/>
      <c r="CT120" s="259"/>
      <c r="CU120" s="259"/>
      <c r="CV120" s="259"/>
      <c r="CW120" s="259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259"/>
      <c r="BP121" s="259"/>
      <c r="BQ121" s="259"/>
      <c r="BR121" s="259"/>
      <c r="BS121" s="259"/>
      <c r="BT121" s="259"/>
      <c r="BU121" s="259"/>
      <c r="BV121" s="259"/>
      <c r="BW121" s="259"/>
      <c r="BX121" s="259"/>
      <c r="BY121" s="259"/>
      <c r="BZ121" s="260"/>
      <c r="CA121" s="259"/>
      <c r="CB121" s="259"/>
      <c r="CC121" s="259"/>
      <c r="CD121" s="259"/>
      <c r="CE121" s="259"/>
      <c r="CF121" s="259"/>
      <c r="CG121" s="259"/>
      <c r="CH121" s="259"/>
      <c r="CI121" s="259"/>
      <c r="CJ121" s="259"/>
      <c r="CK121" s="259"/>
      <c r="CL121" s="259"/>
      <c r="CM121" s="259"/>
      <c r="CN121" s="259"/>
      <c r="CO121" s="259"/>
      <c r="CP121" s="259"/>
      <c r="CQ121" s="259"/>
      <c r="CR121" s="259"/>
      <c r="CS121" s="259"/>
      <c r="CT121" s="259"/>
      <c r="CU121" s="259"/>
      <c r="CV121" s="259"/>
      <c r="CW121" s="259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259"/>
      <c r="BP122" s="259"/>
      <c r="BQ122" s="259"/>
      <c r="BR122" s="259"/>
      <c r="BS122" s="259"/>
      <c r="BT122" s="259"/>
      <c r="BU122" s="259"/>
      <c r="BV122" s="259"/>
      <c r="BW122" s="259"/>
      <c r="BX122" s="259"/>
      <c r="BY122" s="259"/>
      <c r="BZ122" s="260"/>
      <c r="CA122" s="259"/>
      <c r="CB122" s="259"/>
      <c r="CC122" s="259"/>
      <c r="CD122" s="259"/>
      <c r="CE122" s="259"/>
      <c r="CF122" s="259"/>
      <c r="CG122" s="259"/>
      <c r="CH122" s="259"/>
      <c r="CI122" s="259"/>
      <c r="CJ122" s="259"/>
      <c r="CK122" s="259"/>
      <c r="CL122" s="259"/>
      <c r="CM122" s="259"/>
      <c r="CN122" s="259"/>
      <c r="CO122" s="259"/>
      <c r="CP122" s="259"/>
      <c r="CQ122" s="259"/>
      <c r="CR122" s="259"/>
      <c r="CS122" s="259"/>
      <c r="CT122" s="259"/>
      <c r="CU122" s="259"/>
      <c r="CV122" s="259"/>
      <c r="CW122" s="259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259"/>
      <c r="BP123" s="259"/>
      <c r="BQ123" s="259"/>
      <c r="BR123" s="259"/>
      <c r="BS123" s="259"/>
      <c r="BT123" s="259"/>
      <c r="BU123" s="259"/>
      <c r="BV123" s="259"/>
      <c r="BW123" s="259"/>
      <c r="BX123" s="259"/>
      <c r="BY123" s="259"/>
      <c r="BZ123" s="260"/>
      <c r="CA123" s="259"/>
      <c r="CB123" s="259"/>
      <c r="CC123" s="259"/>
      <c r="CD123" s="259"/>
      <c r="CE123" s="259"/>
      <c r="CF123" s="259"/>
      <c r="CG123" s="259"/>
      <c r="CH123" s="259"/>
      <c r="CI123" s="259"/>
      <c r="CJ123" s="259"/>
      <c r="CK123" s="259"/>
      <c r="CL123" s="259"/>
      <c r="CM123" s="259"/>
      <c r="CN123" s="259"/>
      <c r="CO123" s="259"/>
      <c r="CP123" s="259"/>
      <c r="CQ123" s="259"/>
      <c r="CR123" s="259"/>
      <c r="CS123" s="259"/>
      <c r="CT123" s="259"/>
      <c r="CU123" s="259"/>
      <c r="CV123" s="259"/>
      <c r="CW123" s="259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259"/>
      <c r="BP124" s="259"/>
      <c r="BQ124" s="259"/>
      <c r="BR124" s="259"/>
      <c r="BS124" s="259"/>
      <c r="BT124" s="259"/>
      <c r="BU124" s="259"/>
      <c r="BV124" s="259"/>
      <c r="BW124" s="259"/>
      <c r="BX124" s="259"/>
      <c r="BY124" s="259"/>
      <c r="BZ124" s="260"/>
      <c r="CA124" s="259"/>
      <c r="CB124" s="259"/>
      <c r="CC124" s="259"/>
      <c r="CD124" s="259"/>
      <c r="CE124" s="259"/>
      <c r="CF124" s="259"/>
      <c r="CG124" s="259"/>
      <c r="CH124" s="259"/>
      <c r="CI124" s="259"/>
      <c r="CJ124" s="259"/>
      <c r="CK124" s="259"/>
      <c r="CL124" s="259"/>
      <c r="CM124" s="259"/>
      <c r="CN124" s="259"/>
      <c r="CO124" s="259"/>
      <c r="CP124" s="259"/>
      <c r="CQ124" s="259"/>
      <c r="CR124" s="259"/>
      <c r="CS124" s="259"/>
      <c r="CT124" s="259"/>
      <c r="CU124" s="259"/>
      <c r="CV124" s="259"/>
      <c r="CW124" s="259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259"/>
      <c r="BP125" s="259"/>
      <c r="BQ125" s="259"/>
      <c r="BR125" s="259"/>
      <c r="BS125" s="259"/>
      <c r="BT125" s="259"/>
      <c r="BU125" s="259"/>
      <c r="BV125" s="259"/>
      <c r="BW125" s="259"/>
      <c r="BX125" s="259"/>
      <c r="BY125" s="259"/>
      <c r="BZ125" s="260"/>
      <c r="CA125" s="259"/>
      <c r="CB125" s="259"/>
      <c r="CC125" s="259"/>
      <c r="CD125" s="259"/>
      <c r="CE125" s="259"/>
      <c r="CF125" s="259"/>
      <c r="CG125" s="259"/>
      <c r="CH125" s="259"/>
      <c r="CI125" s="259"/>
      <c r="CJ125" s="259"/>
      <c r="CK125" s="259"/>
      <c r="CL125" s="259"/>
      <c r="CM125" s="259"/>
      <c r="CN125" s="259"/>
      <c r="CO125" s="259"/>
      <c r="CP125" s="259"/>
      <c r="CQ125" s="259"/>
      <c r="CR125" s="259"/>
      <c r="CS125" s="259"/>
      <c r="CT125" s="259"/>
      <c r="CU125" s="259"/>
      <c r="CV125" s="259"/>
      <c r="CW125" s="259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259"/>
      <c r="BP126" s="259"/>
      <c r="BQ126" s="259"/>
      <c r="BR126" s="259"/>
      <c r="BS126" s="259"/>
      <c r="BT126" s="259"/>
      <c r="BU126" s="259"/>
      <c r="BV126" s="259"/>
      <c r="BW126" s="259"/>
      <c r="BX126" s="259"/>
      <c r="BY126" s="259"/>
      <c r="BZ126" s="260"/>
      <c r="CA126" s="259"/>
      <c r="CB126" s="259"/>
      <c r="CC126" s="259"/>
      <c r="CD126" s="259"/>
      <c r="CE126" s="259"/>
      <c r="CF126" s="259"/>
      <c r="CG126" s="259"/>
      <c r="CH126" s="259"/>
      <c r="CI126" s="259"/>
      <c r="CJ126" s="259"/>
      <c r="CK126" s="259"/>
      <c r="CL126" s="259"/>
      <c r="CM126" s="259"/>
      <c r="CN126" s="259"/>
      <c r="CO126" s="259"/>
      <c r="CP126" s="259"/>
      <c r="CQ126" s="259"/>
      <c r="CR126" s="259"/>
      <c r="CS126" s="259"/>
      <c r="CT126" s="259"/>
      <c r="CU126" s="259"/>
      <c r="CV126" s="259"/>
      <c r="CW126" s="259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259"/>
      <c r="BP127" s="259"/>
      <c r="BQ127" s="259"/>
      <c r="BR127" s="259"/>
      <c r="BS127" s="259"/>
      <c r="BT127" s="259"/>
      <c r="BU127" s="259"/>
      <c r="BV127" s="259"/>
      <c r="BW127" s="259"/>
      <c r="BX127" s="259"/>
      <c r="BY127" s="259"/>
      <c r="BZ127" s="260"/>
      <c r="CA127" s="259"/>
      <c r="CB127" s="259"/>
      <c r="CC127" s="259"/>
      <c r="CD127" s="259"/>
      <c r="CE127" s="259"/>
      <c r="CF127" s="259"/>
      <c r="CG127" s="259"/>
      <c r="CH127" s="259"/>
      <c r="CI127" s="259"/>
      <c r="CJ127" s="259"/>
      <c r="CK127" s="259"/>
      <c r="CL127" s="259"/>
      <c r="CM127" s="259"/>
      <c r="CN127" s="259"/>
      <c r="CO127" s="259"/>
      <c r="CP127" s="259"/>
      <c r="CQ127" s="259"/>
      <c r="CR127" s="259"/>
      <c r="CS127" s="259"/>
      <c r="CT127" s="259"/>
      <c r="CU127" s="259"/>
      <c r="CV127" s="259"/>
      <c r="CW127" s="259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259"/>
      <c r="BP128" s="259"/>
      <c r="BQ128" s="259"/>
      <c r="BR128" s="259"/>
      <c r="BS128" s="259"/>
      <c r="BT128" s="259"/>
      <c r="BU128" s="259"/>
      <c r="BV128" s="259"/>
      <c r="BW128" s="259"/>
      <c r="BX128" s="259"/>
      <c r="BY128" s="259"/>
      <c r="BZ128" s="260"/>
      <c r="CA128" s="259"/>
      <c r="CB128" s="259"/>
      <c r="CC128" s="259"/>
      <c r="CD128" s="259"/>
      <c r="CE128" s="259"/>
      <c r="CF128" s="259"/>
      <c r="CG128" s="259"/>
      <c r="CH128" s="259"/>
      <c r="CI128" s="259"/>
      <c r="CJ128" s="259"/>
      <c r="CK128" s="259"/>
      <c r="CL128" s="259"/>
      <c r="CM128" s="259"/>
      <c r="CN128" s="259"/>
      <c r="CO128" s="259"/>
      <c r="CP128" s="259"/>
      <c r="CQ128" s="259"/>
      <c r="CR128" s="259"/>
      <c r="CS128" s="259"/>
      <c r="CT128" s="259"/>
      <c r="CU128" s="259"/>
      <c r="CV128" s="259"/>
      <c r="CW128" s="259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259"/>
      <c r="BP129" s="259"/>
      <c r="BQ129" s="259"/>
      <c r="BR129" s="259"/>
      <c r="BS129" s="259"/>
      <c r="BT129" s="259"/>
      <c r="BU129" s="259"/>
      <c r="BV129" s="259"/>
      <c r="BW129" s="259"/>
      <c r="BX129" s="259"/>
      <c r="BY129" s="259"/>
      <c r="BZ129" s="260"/>
      <c r="CA129" s="259"/>
      <c r="CB129" s="259"/>
      <c r="CC129" s="259"/>
      <c r="CD129" s="259"/>
      <c r="CE129" s="259"/>
      <c r="CF129" s="259"/>
      <c r="CG129" s="259"/>
      <c r="CH129" s="259"/>
      <c r="CI129" s="259"/>
      <c r="CJ129" s="259"/>
      <c r="CK129" s="259"/>
      <c r="CL129" s="259"/>
      <c r="CM129" s="259"/>
      <c r="CN129" s="259"/>
      <c r="CO129" s="259"/>
      <c r="CP129" s="259"/>
      <c r="CQ129" s="259"/>
      <c r="CR129" s="259"/>
      <c r="CS129" s="259"/>
      <c r="CT129" s="259"/>
      <c r="CU129" s="259"/>
      <c r="CV129" s="259"/>
      <c r="CW129" s="259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259"/>
      <c r="BP130" s="259"/>
      <c r="BQ130" s="259"/>
      <c r="BR130" s="259"/>
      <c r="BS130" s="259"/>
      <c r="BT130" s="259"/>
      <c r="BU130" s="259"/>
      <c r="BV130" s="259"/>
      <c r="BW130" s="259"/>
      <c r="BX130" s="259"/>
      <c r="BY130" s="259"/>
      <c r="BZ130" s="260"/>
      <c r="CA130" s="259"/>
      <c r="CB130" s="259"/>
      <c r="CC130" s="259"/>
      <c r="CD130" s="259"/>
      <c r="CE130" s="259"/>
      <c r="CF130" s="259"/>
      <c r="CG130" s="259"/>
      <c r="CH130" s="259"/>
      <c r="CI130" s="259"/>
      <c r="CJ130" s="259"/>
      <c r="CK130" s="259"/>
      <c r="CL130" s="259"/>
      <c r="CM130" s="259"/>
      <c r="CN130" s="259"/>
      <c r="CO130" s="259"/>
      <c r="CP130" s="259"/>
      <c r="CQ130" s="259"/>
      <c r="CR130" s="259"/>
      <c r="CS130" s="259"/>
      <c r="CT130" s="259"/>
      <c r="CU130" s="259"/>
      <c r="CV130" s="259"/>
      <c r="CW130" s="259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259"/>
      <c r="BP131" s="259"/>
      <c r="BQ131" s="259"/>
      <c r="BR131" s="259"/>
      <c r="BS131" s="259"/>
      <c r="BT131" s="259"/>
      <c r="BU131" s="259"/>
      <c r="BV131" s="259"/>
      <c r="BW131" s="259"/>
      <c r="BX131" s="259"/>
      <c r="BY131" s="259"/>
      <c r="BZ131" s="260"/>
      <c r="CA131" s="259"/>
      <c r="CB131" s="259"/>
      <c r="CC131" s="259"/>
      <c r="CD131" s="259"/>
      <c r="CE131" s="259"/>
      <c r="CF131" s="259"/>
      <c r="CG131" s="259"/>
      <c r="CH131" s="259"/>
      <c r="CI131" s="259"/>
      <c r="CJ131" s="259"/>
      <c r="CK131" s="259"/>
      <c r="CL131" s="259"/>
      <c r="CM131" s="259"/>
      <c r="CN131" s="259"/>
      <c r="CO131" s="259"/>
      <c r="CP131" s="259"/>
      <c r="CQ131" s="259"/>
      <c r="CR131" s="259"/>
      <c r="CS131" s="259"/>
      <c r="CT131" s="259"/>
      <c r="CU131" s="259"/>
      <c r="CV131" s="259"/>
      <c r="CW131" s="259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259"/>
      <c r="BP132" s="259"/>
      <c r="BQ132" s="259"/>
      <c r="BR132" s="259"/>
      <c r="BS132" s="259"/>
      <c r="BT132" s="259"/>
      <c r="BU132" s="259"/>
      <c r="BV132" s="259"/>
      <c r="BW132" s="259"/>
      <c r="BX132" s="259"/>
      <c r="BY132" s="259"/>
      <c r="BZ132" s="260"/>
      <c r="CA132" s="259"/>
      <c r="CB132" s="259"/>
      <c r="CC132" s="259"/>
      <c r="CD132" s="259"/>
      <c r="CE132" s="259"/>
      <c r="CF132" s="259"/>
      <c r="CG132" s="259"/>
      <c r="CH132" s="259"/>
      <c r="CI132" s="259"/>
      <c r="CJ132" s="259"/>
      <c r="CK132" s="259"/>
      <c r="CL132" s="259"/>
      <c r="CM132" s="259"/>
      <c r="CN132" s="259"/>
      <c r="CO132" s="259"/>
      <c r="CP132" s="259"/>
      <c r="CQ132" s="259"/>
      <c r="CR132" s="259"/>
      <c r="CS132" s="259"/>
      <c r="CT132" s="259"/>
      <c r="CU132" s="259"/>
      <c r="CV132" s="259"/>
      <c r="CW132" s="259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259"/>
      <c r="BP133" s="259"/>
      <c r="BQ133" s="259"/>
      <c r="BR133" s="259"/>
      <c r="BS133" s="259"/>
      <c r="BT133" s="259"/>
      <c r="BU133" s="259"/>
      <c r="BV133" s="259"/>
      <c r="BW133" s="259"/>
      <c r="BX133" s="259"/>
      <c r="BY133" s="259"/>
      <c r="BZ133" s="260"/>
      <c r="CA133" s="259"/>
      <c r="CB133" s="259"/>
      <c r="CC133" s="259"/>
      <c r="CD133" s="259"/>
      <c r="CE133" s="259"/>
      <c r="CF133" s="259"/>
      <c r="CG133" s="259"/>
      <c r="CH133" s="259"/>
      <c r="CI133" s="259"/>
      <c r="CJ133" s="259"/>
      <c r="CK133" s="259"/>
      <c r="CL133" s="259"/>
      <c r="CM133" s="259"/>
      <c r="CN133" s="259"/>
      <c r="CO133" s="259"/>
      <c r="CP133" s="259"/>
      <c r="CQ133" s="259"/>
      <c r="CR133" s="259"/>
      <c r="CS133" s="259"/>
      <c r="CT133" s="259"/>
      <c r="CU133" s="259"/>
      <c r="CV133" s="259"/>
      <c r="CW133" s="259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259"/>
      <c r="BP134" s="259"/>
      <c r="BQ134" s="259"/>
      <c r="BR134" s="259"/>
      <c r="BS134" s="259"/>
      <c r="BT134" s="259"/>
      <c r="BU134" s="259"/>
      <c r="BV134" s="259"/>
      <c r="BW134" s="259"/>
      <c r="BX134" s="259"/>
      <c r="BY134" s="259"/>
      <c r="BZ134" s="260"/>
      <c r="CA134" s="259"/>
      <c r="CB134" s="259"/>
      <c r="CC134" s="259"/>
      <c r="CD134" s="259"/>
      <c r="CE134" s="259"/>
      <c r="CF134" s="259"/>
      <c r="CG134" s="259"/>
      <c r="CH134" s="259"/>
      <c r="CI134" s="259"/>
      <c r="CJ134" s="259"/>
      <c r="CK134" s="259"/>
      <c r="CL134" s="259"/>
      <c r="CM134" s="259"/>
      <c r="CN134" s="259"/>
      <c r="CO134" s="259"/>
      <c r="CP134" s="259"/>
      <c r="CQ134" s="259"/>
      <c r="CR134" s="259"/>
      <c r="CS134" s="259"/>
      <c r="CT134" s="259"/>
      <c r="CU134" s="259"/>
      <c r="CV134" s="259"/>
      <c r="CW134" s="259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259"/>
      <c r="BP135" s="259"/>
      <c r="BQ135" s="259"/>
      <c r="BR135" s="259"/>
      <c r="BS135" s="259"/>
      <c r="BT135" s="259"/>
      <c r="BU135" s="259"/>
      <c r="BV135" s="259"/>
      <c r="BW135" s="259"/>
      <c r="BX135" s="259"/>
      <c r="BY135" s="259"/>
      <c r="BZ135" s="260"/>
      <c r="CA135" s="259"/>
      <c r="CB135" s="259"/>
      <c r="CC135" s="259"/>
      <c r="CD135" s="259"/>
      <c r="CE135" s="259"/>
      <c r="CF135" s="259"/>
      <c r="CG135" s="259"/>
      <c r="CH135" s="259"/>
      <c r="CI135" s="259"/>
      <c r="CJ135" s="259"/>
      <c r="CK135" s="259"/>
      <c r="CL135" s="259"/>
      <c r="CM135" s="259"/>
      <c r="CN135" s="259"/>
      <c r="CO135" s="259"/>
      <c r="CP135" s="259"/>
      <c r="CQ135" s="259"/>
      <c r="CR135" s="259"/>
      <c r="CS135" s="259"/>
      <c r="CT135" s="259"/>
      <c r="CU135" s="259"/>
      <c r="CV135" s="259"/>
      <c r="CW135" s="259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259"/>
      <c r="BP136" s="259"/>
      <c r="BQ136" s="259"/>
      <c r="BR136" s="259"/>
      <c r="BS136" s="259"/>
      <c r="BT136" s="259"/>
      <c r="BU136" s="259"/>
      <c r="BV136" s="259"/>
      <c r="BW136" s="259"/>
      <c r="BX136" s="259"/>
      <c r="BY136" s="259"/>
      <c r="BZ136" s="260"/>
      <c r="CA136" s="259"/>
      <c r="CB136" s="259"/>
      <c r="CC136" s="259"/>
      <c r="CD136" s="259"/>
      <c r="CE136" s="259"/>
      <c r="CF136" s="259"/>
      <c r="CG136" s="259"/>
      <c r="CH136" s="259"/>
      <c r="CI136" s="259"/>
      <c r="CJ136" s="259"/>
      <c r="CK136" s="259"/>
      <c r="CL136" s="259"/>
      <c r="CM136" s="259"/>
      <c r="CN136" s="259"/>
      <c r="CO136" s="259"/>
      <c r="CP136" s="259"/>
      <c r="CQ136" s="259"/>
      <c r="CR136" s="259"/>
      <c r="CS136" s="259"/>
      <c r="CT136" s="259"/>
      <c r="CU136" s="259"/>
      <c r="CV136" s="259"/>
      <c r="CW136" s="259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259"/>
      <c r="BP137" s="259"/>
      <c r="BQ137" s="259"/>
      <c r="BR137" s="259"/>
      <c r="BS137" s="259"/>
      <c r="BT137" s="259"/>
      <c r="BU137" s="259"/>
      <c r="BV137" s="259"/>
      <c r="BW137" s="259"/>
      <c r="BX137" s="259"/>
      <c r="BY137" s="259"/>
      <c r="BZ137" s="260"/>
      <c r="CA137" s="259"/>
      <c r="CB137" s="259"/>
      <c r="CC137" s="259"/>
      <c r="CD137" s="259"/>
      <c r="CE137" s="259"/>
      <c r="CF137" s="259"/>
      <c r="CG137" s="259"/>
      <c r="CH137" s="259"/>
      <c r="CI137" s="259"/>
      <c r="CJ137" s="259"/>
      <c r="CK137" s="259"/>
      <c r="CL137" s="259"/>
      <c r="CM137" s="259"/>
      <c r="CN137" s="259"/>
      <c r="CO137" s="259"/>
      <c r="CP137" s="259"/>
      <c r="CQ137" s="259"/>
      <c r="CR137" s="259"/>
      <c r="CS137" s="259"/>
      <c r="CT137" s="259"/>
      <c r="CU137" s="259"/>
      <c r="CV137" s="259"/>
      <c r="CW137" s="259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259"/>
      <c r="BP138" s="259"/>
      <c r="BQ138" s="259"/>
      <c r="BR138" s="259"/>
      <c r="BS138" s="259"/>
      <c r="BT138" s="259"/>
      <c r="BU138" s="259"/>
      <c r="BV138" s="259"/>
      <c r="BW138" s="259"/>
      <c r="BX138" s="259"/>
      <c r="BY138" s="259"/>
      <c r="BZ138" s="260"/>
      <c r="CA138" s="259"/>
      <c r="CB138" s="259"/>
      <c r="CC138" s="259"/>
      <c r="CD138" s="259"/>
      <c r="CE138" s="259"/>
      <c r="CF138" s="259"/>
      <c r="CG138" s="259"/>
      <c r="CH138" s="259"/>
      <c r="CI138" s="259"/>
      <c r="CJ138" s="259"/>
      <c r="CK138" s="259"/>
      <c r="CL138" s="259"/>
      <c r="CM138" s="259"/>
      <c r="CN138" s="259"/>
      <c r="CO138" s="259"/>
      <c r="CP138" s="259"/>
      <c r="CQ138" s="259"/>
      <c r="CR138" s="259"/>
      <c r="CS138" s="259"/>
      <c r="CT138" s="259"/>
      <c r="CU138" s="259"/>
      <c r="CV138" s="259"/>
      <c r="CW138" s="259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259"/>
      <c r="BP139" s="259"/>
      <c r="BQ139" s="259"/>
      <c r="BR139" s="259"/>
      <c r="BS139" s="259"/>
      <c r="BT139" s="259"/>
      <c r="BU139" s="259"/>
      <c r="BV139" s="259"/>
      <c r="BW139" s="259"/>
      <c r="BX139" s="259"/>
      <c r="BY139" s="259"/>
      <c r="BZ139" s="260"/>
      <c r="CA139" s="259"/>
      <c r="CB139" s="259"/>
      <c r="CC139" s="259"/>
      <c r="CD139" s="259"/>
      <c r="CE139" s="259"/>
      <c r="CF139" s="259"/>
      <c r="CG139" s="259"/>
      <c r="CH139" s="259"/>
      <c r="CI139" s="259"/>
      <c r="CJ139" s="259"/>
      <c r="CK139" s="259"/>
      <c r="CL139" s="259"/>
      <c r="CM139" s="259"/>
      <c r="CN139" s="259"/>
      <c r="CO139" s="259"/>
      <c r="CP139" s="259"/>
      <c r="CQ139" s="259"/>
      <c r="CR139" s="259"/>
      <c r="CS139" s="259"/>
      <c r="CT139" s="259"/>
      <c r="CU139" s="259"/>
      <c r="CV139" s="259"/>
      <c r="CW139" s="259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259"/>
      <c r="BP140" s="259"/>
      <c r="BQ140" s="259"/>
      <c r="BR140" s="259"/>
      <c r="BS140" s="259"/>
      <c r="BT140" s="259"/>
      <c r="BU140" s="259"/>
      <c r="BV140" s="259"/>
      <c r="BW140" s="259"/>
      <c r="BX140" s="259"/>
      <c r="BY140" s="259"/>
      <c r="BZ140" s="260"/>
      <c r="CA140" s="259"/>
      <c r="CB140" s="259"/>
      <c r="CC140" s="259"/>
      <c r="CD140" s="259"/>
      <c r="CE140" s="259"/>
      <c r="CF140" s="259"/>
      <c r="CG140" s="259"/>
      <c r="CH140" s="259"/>
      <c r="CI140" s="259"/>
      <c r="CJ140" s="259"/>
      <c r="CK140" s="259"/>
      <c r="CL140" s="259"/>
      <c r="CM140" s="259"/>
      <c r="CN140" s="259"/>
      <c r="CO140" s="259"/>
      <c r="CP140" s="259"/>
      <c r="CQ140" s="259"/>
      <c r="CR140" s="259"/>
      <c r="CS140" s="259"/>
      <c r="CT140" s="259"/>
      <c r="CU140" s="259"/>
      <c r="CV140" s="259"/>
      <c r="CW140" s="259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259"/>
      <c r="BP141" s="259"/>
      <c r="BQ141" s="259"/>
      <c r="BR141" s="259"/>
      <c r="BS141" s="259"/>
      <c r="BT141" s="259"/>
      <c r="BU141" s="259"/>
      <c r="BV141" s="259"/>
      <c r="BW141" s="259"/>
      <c r="BX141" s="259"/>
      <c r="BY141" s="259"/>
      <c r="BZ141" s="260"/>
      <c r="CA141" s="259"/>
      <c r="CB141" s="259"/>
      <c r="CC141" s="259"/>
      <c r="CD141" s="259"/>
      <c r="CE141" s="259"/>
      <c r="CF141" s="259"/>
      <c r="CG141" s="259"/>
      <c r="CH141" s="259"/>
      <c r="CI141" s="259"/>
      <c r="CJ141" s="259"/>
      <c r="CK141" s="259"/>
      <c r="CL141" s="259"/>
      <c r="CM141" s="259"/>
      <c r="CN141" s="259"/>
      <c r="CO141" s="259"/>
      <c r="CP141" s="259"/>
      <c r="CQ141" s="259"/>
      <c r="CR141" s="259"/>
      <c r="CS141" s="259"/>
      <c r="CT141" s="259"/>
      <c r="CU141" s="259"/>
      <c r="CV141" s="259"/>
      <c r="CW141" s="259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259"/>
      <c r="BP142" s="259"/>
      <c r="BQ142" s="259"/>
      <c r="BR142" s="259"/>
      <c r="BS142" s="259"/>
      <c r="BT142" s="259"/>
      <c r="BU142" s="259"/>
      <c r="BV142" s="259"/>
      <c r="BW142" s="259"/>
      <c r="BX142" s="259"/>
      <c r="BY142" s="259"/>
      <c r="BZ142" s="260"/>
      <c r="CA142" s="259"/>
      <c r="CB142" s="259"/>
      <c r="CC142" s="259"/>
      <c r="CD142" s="259"/>
      <c r="CE142" s="259"/>
      <c r="CF142" s="259"/>
      <c r="CG142" s="259"/>
      <c r="CH142" s="259"/>
      <c r="CI142" s="259"/>
      <c r="CJ142" s="259"/>
      <c r="CK142" s="259"/>
      <c r="CL142" s="259"/>
      <c r="CM142" s="259"/>
      <c r="CN142" s="259"/>
      <c r="CO142" s="259"/>
      <c r="CP142" s="259"/>
      <c r="CQ142" s="259"/>
      <c r="CR142" s="259"/>
      <c r="CS142" s="259"/>
      <c r="CT142" s="259"/>
      <c r="CU142" s="259"/>
      <c r="CV142" s="259"/>
      <c r="CW142" s="259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259"/>
      <c r="BP143" s="259"/>
      <c r="BQ143" s="259"/>
      <c r="BR143" s="259"/>
      <c r="BS143" s="259"/>
      <c r="BT143" s="259"/>
      <c r="BU143" s="259"/>
      <c r="BV143" s="259"/>
      <c r="BW143" s="259"/>
      <c r="BX143" s="259"/>
      <c r="BY143" s="259"/>
      <c r="BZ143" s="260"/>
      <c r="CA143" s="259"/>
      <c r="CB143" s="259"/>
      <c r="CC143" s="259"/>
      <c r="CD143" s="259"/>
      <c r="CE143" s="259"/>
      <c r="CF143" s="259"/>
      <c r="CG143" s="259"/>
      <c r="CH143" s="259"/>
      <c r="CI143" s="259"/>
      <c r="CJ143" s="259"/>
      <c r="CK143" s="259"/>
      <c r="CL143" s="259"/>
      <c r="CM143" s="259"/>
      <c r="CN143" s="259"/>
      <c r="CO143" s="259"/>
      <c r="CP143" s="259"/>
      <c r="CQ143" s="259"/>
      <c r="CR143" s="259"/>
      <c r="CS143" s="259"/>
      <c r="CT143" s="259"/>
      <c r="CU143" s="259"/>
      <c r="CV143" s="259"/>
      <c r="CW143" s="259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259"/>
      <c r="BP144" s="259"/>
      <c r="BQ144" s="259"/>
      <c r="BR144" s="259"/>
      <c r="BS144" s="259"/>
      <c r="BT144" s="259"/>
      <c r="BU144" s="259"/>
      <c r="BV144" s="259"/>
      <c r="BW144" s="259"/>
      <c r="BX144" s="259"/>
      <c r="BY144" s="259"/>
      <c r="BZ144" s="260"/>
      <c r="CA144" s="259"/>
      <c r="CB144" s="259"/>
      <c r="CC144" s="259"/>
      <c r="CD144" s="259"/>
      <c r="CE144" s="259"/>
      <c r="CF144" s="259"/>
      <c r="CG144" s="259"/>
      <c r="CH144" s="259"/>
      <c r="CI144" s="259"/>
      <c r="CJ144" s="259"/>
      <c r="CK144" s="259"/>
      <c r="CL144" s="259"/>
      <c r="CM144" s="259"/>
      <c r="CN144" s="259"/>
      <c r="CO144" s="259"/>
      <c r="CP144" s="259"/>
      <c r="CQ144" s="259"/>
      <c r="CR144" s="259"/>
      <c r="CS144" s="259"/>
      <c r="CT144" s="259"/>
      <c r="CU144" s="259"/>
      <c r="CV144" s="259"/>
      <c r="CW144" s="259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259"/>
      <c r="BP145" s="259"/>
      <c r="BQ145" s="259"/>
      <c r="BR145" s="259"/>
      <c r="BS145" s="259"/>
      <c r="BT145" s="259"/>
      <c r="BU145" s="259"/>
      <c r="BV145" s="259"/>
      <c r="BW145" s="259"/>
      <c r="BX145" s="259"/>
      <c r="BY145" s="259"/>
      <c r="BZ145" s="260"/>
      <c r="CA145" s="259"/>
      <c r="CB145" s="259"/>
      <c r="CC145" s="259"/>
      <c r="CD145" s="259"/>
      <c r="CE145" s="259"/>
      <c r="CF145" s="259"/>
      <c r="CG145" s="259"/>
      <c r="CH145" s="259"/>
      <c r="CI145" s="259"/>
      <c r="CJ145" s="259"/>
      <c r="CK145" s="259"/>
      <c r="CL145" s="259"/>
      <c r="CM145" s="259"/>
      <c r="CN145" s="259"/>
      <c r="CO145" s="259"/>
      <c r="CP145" s="259"/>
      <c r="CQ145" s="259"/>
      <c r="CR145" s="259"/>
      <c r="CS145" s="259"/>
      <c r="CT145" s="259"/>
      <c r="CU145" s="259"/>
      <c r="CV145" s="259"/>
      <c r="CW145" s="259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259"/>
      <c r="BP146" s="259"/>
      <c r="BQ146" s="259"/>
      <c r="BR146" s="259"/>
      <c r="BS146" s="259"/>
      <c r="BT146" s="259"/>
      <c r="BU146" s="259"/>
      <c r="BV146" s="259"/>
      <c r="BW146" s="259"/>
      <c r="BX146" s="259"/>
      <c r="BY146" s="259"/>
      <c r="BZ146" s="260"/>
      <c r="CA146" s="259"/>
      <c r="CB146" s="259"/>
      <c r="CC146" s="259"/>
      <c r="CD146" s="259"/>
      <c r="CE146" s="259"/>
      <c r="CF146" s="259"/>
      <c r="CG146" s="259"/>
      <c r="CH146" s="259"/>
      <c r="CI146" s="259"/>
      <c r="CJ146" s="259"/>
      <c r="CK146" s="259"/>
      <c r="CL146" s="259"/>
      <c r="CM146" s="259"/>
      <c r="CN146" s="259"/>
      <c r="CO146" s="259"/>
      <c r="CP146" s="259"/>
      <c r="CQ146" s="259"/>
      <c r="CR146" s="259"/>
      <c r="CS146" s="259"/>
      <c r="CT146" s="259"/>
      <c r="CU146" s="259"/>
      <c r="CV146" s="259"/>
      <c r="CW146" s="259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259"/>
      <c r="BP147" s="259"/>
      <c r="BQ147" s="259"/>
      <c r="BR147" s="259"/>
      <c r="BS147" s="259"/>
      <c r="BT147" s="259"/>
      <c r="BU147" s="259"/>
      <c r="BV147" s="259"/>
      <c r="BW147" s="259"/>
      <c r="BX147" s="259"/>
      <c r="BY147" s="259"/>
      <c r="BZ147" s="260"/>
      <c r="CA147" s="259"/>
      <c r="CB147" s="259"/>
      <c r="CC147" s="259"/>
      <c r="CD147" s="259"/>
      <c r="CE147" s="259"/>
      <c r="CF147" s="259"/>
      <c r="CG147" s="259"/>
      <c r="CH147" s="259"/>
      <c r="CI147" s="259"/>
      <c r="CJ147" s="259"/>
      <c r="CK147" s="259"/>
      <c r="CL147" s="259"/>
      <c r="CM147" s="259"/>
      <c r="CN147" s="259"/>
      <c r="CO147" s="259"/>
      <c r="CP147" s="259"/>
      <c r="CQ147" s="259"/>
      <c r="CR147" s="259"/>
      <c r="CS147" s="259"/>
      <c r="CT147" s="259"/>
      <c r="CU147" s="259"/>
      <c r="CV147" s="259"/>
      <c r="CW147" s="259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259"/>
      <c r="BP148" s="259"/>
      <c r="BQ148" s="259"/>
      <c r="BR148" s="259"/>
      <c r="BS148" s="259"/>
      <c r="BT148" s="259"/>
      <c r="BU148" s="259"/>
      <c r="BV148" s="259"/>
      <c r="BW148" s="259"/>
      <c r="BX148" s="259"/>
      <c r="BY148" s="259"/>
      <c r="BZ148" s="260"/>
      <c r="CA148" s="259"/>
      <c r="CB148" s="259"/>
      <c r="CC148" s="259"/>
      <c r="CD148" s="259"/>
      <c r="CE148" s="259"/>
      <c r="CF148" s="259"/>
      <c r="CG148" s="259"/>
      <c r="CH148" s="259"/>
      <c r="CI148" s="259"/>
      <c r="CJ148" s="259"/>
      <c r="CK148" s="259"/>
      <c r="CL148" s="259"/>
      <c r="CM148" s="259"/>
      <c r="CN148" s="259"/>
      <c r="CO148" s="259"/>
      <c r="CP148" s="259"/>
      <c r="CQ148" s="259"/>
      <c r="CR148" s="259"/>
      <c r="CS148" s="259"/>
      <c r="CT148" s="259"/>
      <c r="CU148" s="259"/>
      <c r="CV148" s="259"/>
      <c r="CW148" s="259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259"/>
      <c r="BP149" s="259"/>
      <c r="BQ149" s="259"/>
      <c r="BR149" s="259"/>
      <c r="BS149" s="259"/>
      <c r="BT149" s="259"/>
      <c r="BU149" s="259"/>
      <c r="BV149" s="259"/>
      <c r="BW149" s="259"/>
      <c r="BX149" s="259"/>
      <c r="BY149" s="259"/>
      <c r="BZ149" s="260"/>
      <c r="CA149" s="259"/>
      <c r="CB149" s="259"/>
      <c r="CC149" s="259"/>
      <c r="CD149" s="259"/>
      <c r="CE149" s="259"/>
      <c r="CF149" s="259"/>
      <c r="CG149" s="259"/>
      <c r="CH149" s="259"/>
      <c r="CI149" s="259"/>
      <c r="CJ149" s="259"/>
      <c r="CK149" s="259"/>
      <c r="CL149" s="259"/>
      <c r="CM149" s="259"/>
      <c r="CN149" s="259"/>
      <c r="CO149" s="259"/>
      <c r="CP149" s="259"/>
      <c r="CQ149" s="259"/>
      <c r="CR149" s="259"/>
      <c r="CS149" s="259"/>
      <c r="CT149" s="259"/>
      <c r="CU149" s="259"/>
      <c r="CV149" s="259"/>
      <c r="CW149" s="259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259"/>
      <c r="BP150" s="259"/>
      <c r="BQ150" s="259"/>
      <c r="BR150" s="259"/>
      <c r="BS150" s="259"/>
      <c r="BT150" s="259"/>
      <c r="BU150" s="259"/>
      <c r="BV150" s="259"/>
      <c r="BW150" s="259"/>
      <c r="BX150" s="259"/>
      <c r="BY150" s="259"/>
      <c r="BZ150" s="260"/>
      <c r="CA150" s="259"/>
      <c r="CB150" s="259"/>
      <c r="CC150" s="259"/>
      <c r="CD150" s="259"/>
      <c r="CE150" s="259"/>
      <c r="CF150" s="259"/>
      <c r="CG150" s="259"/>
      <c r="CH150" s="259"/>
      <c r="CI150" s="259"/>
      <c r="CJ150" s="259"/>
      <c r="CK150" s="259"/>
      <c r="CL150" s="259"/>
      <c r="CM150" s="259"/>
      <c r="CN150" s="259"/>
      <c r="CO150" s="259"/>
      <c r="CP150" s="259"/>
      <c r="CQ150" s="259"/>
      <c r="CR150" s="259"/>
      <c r="CS150" s="259"/>
      <c r="CT150" s="259"/>
      <c r="CU150" s="259"/>
      <c r="CV150" s="259"/>
      <c r="CW150" s="259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259"/>
      <c r="BP151" s="259"/>
      <c r="BQ151" s="259"/>
      <c r="BR151" s="259"/>
      <c r="BS151" s="259"/>
      <c r="BT151" s="259"/>
      <c r="BU151" s="259"/>
      <c r="BV151" s="259"/>
      <c r="BW151" s="259"/>
      <c r="BX151" s="259"/>
      <c r="BY151" s="259"/>
      <c r="BZ151" s="260"/>
      <c r="CA151" s="259"/>
      <c r="CB151" s="259"/>
      <c r="CC151" s="259"/>
      <c r="CD151" s="259"/>
      <c r="CE151" s="259"/>
      <c r="CF151" s="259"/>
      <c r="CG151" s="259"/>
      <c r="CH151" s="259"/>
      <c r="CI151" s="259"/>
      <c r="CJ151" s="259"/>
      <c r="CK151" s="259"/>
      <c r="CL151" s="259"/>
      <c r="CM151" s="259"/>
      <c r="CN151" s="259"/>
      <c r="CO151" s="259"/>
      <c r="CP151" s="259"/>
      <c r="CQ151" s="259"/>
      <c r="CR151" s="259"/>
      <c r="CS151" s="259"/>
      <c r="CT151" s="259"/>
      <c r="CU151" s="259"/>
      <c r="CV151" s="259"/>
      <c r="CW151" s="259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259"/>
      <c r="BP152" s="259"/>
      <c r="BQ152" s="259"/>
      <c r="BR152" s="259"/>
      <c r="BS152" s="259"/>
      <c r="BT152" s="259"/>
      <c r="BU152" s="259"/>
      <c r="BV152" s="259"/>
      <c r="BW152" s="259"/>
      <c r="BX152" s="259"/>
      <c r="BY152" s="259"/>
      <c r="BZ152" s="260"/>
      <c r="CA152" s="259"/>
      <c r="CB152" s="259"/>
      <c r="CC152" s="259"/>
      <c r="CD152" s="259"/>
      <c r="CE152" s="259"/>
      <c r="CF152" s="259"/>
      <c r="CG152" s="259"/>
      <c r="CH152" s="259"/>
      <c r="CI152" s="259"/>
      <c r="CJ152" s="259"/>
      <c r="CK152" s="259"/>
      <c r="CL152" s="259"/>
      <c r="CM152" s="259"/>
      <c r="CN152" s="259"/>
      <c r="CO152" s="259"/>
      <c r="CP152" s="259"/>
      <c r="CQ152" s="259"/>
      <c r="CR152" s="259"/>
      <c r="CS152" s="259"/>
      <c r="CT152" s="259"/>
      <c r="CU152" s="259"/>
      <c r="CV152" s="259"/>
      <c r="CW152" s="259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259"/>
      <c r="BP153" s="259"/>
      <c r="BQ153" s="259"/>
      <c r="BR153" s="259"/>
      <c r="BS153" s="259"/>
      <c r="BT153" s="259"/>
      <c r="BU153" s="259"/>
      <c r="BV153" s="259"/>
      <c r="BW153" s="259"/>
      <c r="BX153" s="259"/>
      <c r="BY153" s="259"/>
      <c r="BZ153" s="260"/>
      <c r="CA153" s="259"/>
      <c r="CB153" s="259"/>
      <c r="CC153" s="259"/>
      <c r="CD153" s="259"/>
      <c r="CE153" s="259"/>
      <c r="CF153" s="259"/>
      <c r="CG153" s="259"/>
      <c r="CH153" s="259"/>
      <c r="CI153" s="259"/>
      <c r="CJ153" s="259"/>
      <c r="CK153" s="259"/>
      <c r="CL153" s="259"/>
      <c r="CM153" s="259"/>
      <c r="CN153" s="259"/>
      <c r="CO153" s="259"/>
      <c r="CP153" s="259"/>
      <c r="CQ153" s="259"/>
      <c r="CR153" s="259"/>
      <c r="CS153" s="259"/>
      <c r="CT153" s="259"/>
      <c r="CU153" s="259"/>
      <c r="CV153" s="259"/>
      <c r="CW153" s="259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259"/>
      <c r="BP154" s="259"/>
      <c r="BQ154" s="259"/>
      <c r="BR154" s="259"/>
      <c r="BS154" s="259"/>
      <c r="BT154" s="259"/>
      <c r="BU154" s="259"/>
      <c r="BV154" s="259"/>
      <c r="BW154" s="259"/>
      <c r="BX154" s="259"/>
      <c r="BY154" s="259"/>
      <c r="BZ154" s="260"/>
      <c r="CA154" s="259"/>
      <c r="CB154" s="259"/>
      <c r="CC154" s="259"/>
      <c r="CD154" s="259"/>
      <c r="CE154" s="259"/>
      <c r="CF154" s="259"/>
      <c r="CG154" s="259"/>
      <c r="CH154" s="259"/>
      <c r="CI154" s="259"/>
      <c r="CJ154" s="259"/>
      <c r="CK154" s="259"/>
      <c r="CL154" s="259"/>
      <c r="CM154" s="259"/>
      <c r="CN154" s="259"/>
      <c r="CO154" s="259"/>
      <c r="CP154" s="259"/>
      <c r="CQ154" s="259"/>
      <c r="CR154" s="259"/>
      <c r="CS154" s="259"/>
      <c r="CT154" s="259"/>
      <c r="CU154" s="259"/>
      <c r="CV154" s="259"/>
      <c r="CW154" s="259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259"/>
      <c r="BP155" s="259"/>
      <c r="BQ155" s="259"/>
      <c r="BR155" s="259"/>
      <c r="BS155" s="259"/>
      <c r="BT155" s="259"/>
      <c r="BU155" s="259"/>
      <c r="BV155" s="259"/>
      <c r="BW155" s="259"/>
      <c r="BX155" s="259"/>
      <c r="BY155" s="259"/>
      <c r="BZ155" s="260"/>
      <c r="CA155" s="259"/>
      <c r="CB155" s="259"/>
      <c r="CC155" s="259"/>
      <c r="CD155" s="259"/>
      <c r="CE155" s="259"/>
      <c r="CF155" s="259"/>
      <c r="CG155" s="259"/>
      <c r="CH155" s="259"/>
      <c r="CI155" s="259"/>
      <c r="CJ155" s="259"/>
      <c r="CK155" s="259"/>
      <c r="CL155" s="259"/>
      <c r="CM155" s="259"/>
      <c r="CN155" s="259"/>
      <c r="CO155" s="259"/>
      <c r="CP155" s="259"/>
      <c r="CQ155" s="259"/>
      <c r="CR155" s="259"/>
      <c r="CS155" s="259"/>
      <c r="CT155" s="259"/>
      <c r="CU155" s="259"/>
      <c r="CV155" s="259"/>
      <c r="CW155" s="259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259"/>
      <c r="BP156" s="259"/>
      <c r="BQ156" s="259"/>
      <c r="BR156" s="259"/>
      <c r="BS156" s="259"/>
      <c r="BT156" s="259"/>
      <c r="BU156" s="259"/>
      <c r="BV156" s="259"/>
      <c r="BW156" s="259"/>
      <c r="BX156" s="259"/>
      <c r="BY156" s="259"/>
      <c r="BZ156" s="260"/>
      <c r="CA156" s="259"/>
      <c r="CB156" s="259"/>
      <c r="CC156" s="259"/>
      <c r="CD156" s="259"/>
      <c r="CE156" s="259"/>
      <c r="CF156" s="259"/>
      <c r="CG156" s="259"/>
      <c r="CH156" s="259"/>
      <c r="CI156" s="259"/>
      <c r="CJ156" s="259"/>
      <c r="CK156" s="259"/>
      <c r="CL156" s="259"/>
      <c r="CM156" s="259"/>
      <c r="CN156" s="259"/>
      <c r="CO156" s="259"/>
      <c r="CP156" s="259"/>
      <c r="CQ156" s="259"/>
      <c r="CR156" s="259"/>
      <c r="CS156" s="259"/>
      <c r="CT156" s="259"/>
      <c r="CU156" s="259"/>
      <c r="CV156" s="259"/>
      <c r="CW156" s="259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259"/>
      <c r="BP157" s="259"/>
      <c r="BQ157" s="259"/>
      <c r="BR157" s="259"/>
      <c r="BS157" s="259"/>
      <c r="BT157" s="259"/>
      <c r="BU157" s="259"/>
      <c r="BV157" s="259"/>
      <c r="BW157" s="259"/>
      <c r="BX157" s="259"/>
      <c r="BY157" s="259"/>
      <c r="BZ157" s="260"/>
      <c r="CA157" s="259"/>
      <c r="CB157" s="259"/>
      <c r="CC157" s="259"/>
      <c r="CD157" s="259"/>
      <c r="CE157" s="259"/>
      <c r="CF157" s="259"/>
      <c r="CG157" s="259"/>
      <c r="CH157" s="259"/>
      <c r="CI157" s="259"/>
      <c r="CJ157" s="259"/>
      <c r="CK157" s="259"/>
      <c r="CL157" s="259"/>
      <c r="CM157" s="259"/>
      <c r="CN157" s="259"/>
      <c r="CO157" s="259"/>
      <c r="CP157" s="259"/>
      <c r="CQ157" s="259"/>
      <c r="CR157" s="259"/>
      <c r="CS157" s="259"/>
      <c r="CT157" s="259"/>
      <c r="CU157" s="259"/>
      <c r="CV157" s="259"/>
      <c r="CW157" s="259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259"/>
      <c r="BP158" s="259"/>
      <c r="BQ158" s="259"/>
      <c r="BR158" s="259"/>
      <c r="BS158" s="259"/>
      <c r="BT158" s="259"/>
      <c r="BU158" s="259"/>
      <c r="BV158" s="259"/>
      <c r="BW158" s="259"/>
      <c r="BX158" s="259"/>
      <c r="BY158" s="259"/>
      <c r="BZ158" s="260"/>
      <c r="CA158" s="259"/>
      <c r="CB158" s="259"/>
      <c r="CC158" s="259"/>
      <c r="CD158" s="259"/>
      <c r="CE158" s="259"/>
      <c r="CF158" s="259"/>
      <c r="CG158" s="259"/>
      <c r="CH158" s="259"/>
      <c r="CI158" s="259"/>
      <c r="CJ158" s="259"/>
      <c r="CK158" s="259"/>
      <c r="CL158" s="259"/>
      <c r="CM158" s="259"/>
      <c r="CN158" s="259"/>
      <c r="CO158" s="259"/>
      <c r="CP158" s="259"/>
      <c r="CQ158" s="259"/>
      <c r="CR158" s="259"/>
      <c r="CS158" s="259"/>
      <c r="CT158" s="259"/>
      <c r="CU158" s="259"/>
      <c r="CV158" s="259"/>
      <c r="CW158" s="259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259"/>
      <c r="BP159" s="259"/>
      <c r="BQ159" s="259"/>
      <c r="BR159" s="259"/>
      <c r="BS159" s="259"/>
      <c r="BT159" s="259"/>
      <c r="BU159" s="259"/>
      <c r="BV159" s="259"/>
      <c r="BW159" s="259"/>
      <c r="BX159" s="259"/>
      <c r="BY159" s="259"/>
      <c r="BZ159" s="260"/>
      <c r="CA159" s="259"/>
      <c r="CB159" s="259"/>
      <c r="CC159" s="259"/>
      <c r="CD159" s="259"/>
      <c r="CE159" s="259"/>
      <c r="CF159" s="259"/>
      <c r="CG159" s="259"/>
      <c r="CH159" s="259"/>
      <c r="CI159" s="259"/>
      <c r="CJ159" s="259"/>
      <c r="CK159" s="259"/>
      <c r="CL159" s="259"/>
      <c r="CM159" s="259"/>
      <c r="CN159" s="259"/>
      <c r="CO159" s="259"/>
      <c r="CP159" s="259"/>
      <c r="CQ159" s="259"/>
      <c r="CR159" s="259"/>
      <c r="CS159" s="259"/>
      <c r="CT159" s="259"/>
      <c r="CU159" s="259"/>
      <c r="CV159" s="259"/>
      <c r="CW159" s="259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259"/>
      <c r="BP160" s="259"/>
      <c r="BQ160" s="259"/>
      <c r="BR160" s="259"/>
      <c r="BS160" s="259"/>
      <c r="BT160" s="259"/>
      <c r="BU160" s="259"/>
      <c r="BV160" s="259"/>
      <c r="BW160" s="259"/>
      <c r="BX160" s="259"/>
      <c r="BY160" s="259"/>
      <c r="BZ160" s="260"/>
      <c r="CA160" s="259"/>
      <c r="CB160" s="259"/>
      <c r="CC160" s="259"/>
      <c r="CD160" s="259"/>
      <c r="CE160" s="259"/>
      <c r="CF160" s="259"/>
      <c r="CG160" s="259"/>
      <c r="CH160" s="259"/>
      <c r="CI160" s="259"/>
      <c r="CJ160" s="259"/>
      <c r="CK160" s="259"/>
      <c r="CL160" s="259"/>
      <c r="CM160" s="259"/>
      <c r="CN160" s="259"/>
      <c r="CO160" s="259"/>
      <c r="CP160" s="259"/>
      <c r="CQ160" s="259"/>
      <c r="CR160" s="259"/>
      <c r="CS160" s="259"/>
      <c r="CT160" s="259"/>
      <c r="CU160" s="259"/>
      <c r="CV160" s="259"/>
      <c r="CW160" s="259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259"/>
      <c r="BP161" s="259"/>
      <c r="BQ161" s="259"/>
      <c r="BR161" s="259"/>
      <c r="BS161" s="259"/>
      <c r="BT161" s="259"/>
      <c r="BU161" s="259"/>
      <c r="BV161" s="259"/>
      <c r="BW161" s="259"/>
      <c r="BX161" s="259"/>
      <c r="BY161" s="259"/>
      <c r="BZ161" s="260"/>
      <c r="CA161" s="259"/>
      <c r="CB161" s="259"/>
      <c r="CC161" s="259"/>
      <c r="CD161" s="259"/>
      <c r="CE161" s="259"/>
      <c r="CF161" s="259"/>
      <c r="CG161" s="259"/>
      <c r="CH161" s="259"/>
      <c r="CI161" s="259"/>
      <c r="CJ161" s="259"/>
      <c r="CK161" s="259"/>
      <c r="CL161" s="259"/>
      <c r="CM161" s="259"/>
      <c r="CN161" s="259"/>
      <c r="CO161" s="259"/>
      <c r="CP161" s="259"/>
      <c r="CQ161" s="259"/>
      <c r="CR161" s="259"/>
      <c r="CS161" s="259"/>
      <c r="CT161" s="259"/>
      <c r="CU161" s="259"/>
      <c r="CV161" s="259"/>
      <c r="CW161" s="259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259"/>
      <c r="BP162" s="259"/>
      <c r="BQ162" s="259"/>
      <c r="BR162" s="259"/>
      <c r="BS162" s="259"/>
      <c r="BT162" s="259"/>
      <c r="BU162" s="259"/>
      <c r="BV162" s="259"/>
      <c r="BW162" s="259"/>
      <c r="BX162" s="259"/>
      <c r="BY162" s="259"/>
      <c r="BZ162" s="260"/>
      <c r="CA162" s="259"/>
      <c r="CB162" s="259"/>
      <c r="CC162" s="259"/>
      <c r="CD162" s="259"/>
      <c r="CE162" s="259"/>
      <c r="CF162" s="259"/>
      <c r="CG162" s="259"/>
      <c r="CH162" s="259"/>
      <c r="CI162" s="259"/>
      <c r="CJ162" s="259"/>
      <c r="CK162" s="259"/>
      <c r="CL162" s="259"/>
      <c r="CM162" s="259"/>
      <c r="CN162" s="259"/>
      <c r="CO162" s="259"/>
      <c r="CP162" s="259"/>
      <c r="CQ162" s="259"/>
      <c r="CR162" s="259"/>
      <c r="CS162" s="259"/>
      <c r="CT162" s="259"/>
      <c r="CU162" s="259"/>
      <c r="CV162" s="259"/>
      <c r="CW162" s="259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259"/>
      <c r="BP163" s="259"/>
      <c r="BQ163" s="259"/>
      <c r="BR163" s="259"/>
      <c r="BS163" s="259"/>
      <c r="BT163" s="259"/>
      <c r="BU163" s="259"/>
      <c r="BV163" s="259"/>
      <c r="BW163" s="259"/>
      <c r="BX163" s="259"/>
      <c r="BY163" s="259"/>
      <c r="BZ163" s="260"/>
      <c r="CA163" s="259"/>
      <c r="CB163" s="259"/>
      <c r="CC163" s="259"/>
      <c r="CD163" s="259"/>
      <c r="CE163" s="259"/>
      <c r="CF163" s="259"/>
      <c r="CG163" s="259"/>
      <c r="CH163" s="259"/>
      <c r="CI163" s="259"/>
      <c r="CJ163" s="259"/>
      <c r="CK163" s="259"/>
      <c r="CL163" s="259"/>
      <c r="CM163" s="259"/>
      <c r="CN163" s="259"/>
      <c r="CO163" s="259"/>
      <c r="CP163" s="259"/>
      <c r="CQ163" s="259"/>
      <c r="CR163" s="259"/>
      <c r="CS163" s="259"/>
      <c r="CT163" s="259"/>
      <c r="CU163" s="259"/>
      <c r="CV163" s="259"/>
      <c r="CW163" s="259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259"/>
      <c r="BP164" s="259"/>
      <c r="BQ164" s="259"/>
      <c r="BR164" s="259"/>
      <c r="BS164" s="259"/>
      <c r="BT164" s="259"/>
      <c r="BU164" s="259"/>
      <c r="BV164" s="259"/>
      <c r="BW164" s="259"/>
      <c r="BX164" s="259"/>
      <c r="BY164" s="259"/>
      <c r="BZ164" s="260"/>
      <c r="CA164" s="259"/>
      <c r="CB164" s="259"/>
      <c r="CC164" s="259"/>
      <c r="CD164" s="259"/>
      <c r="CE164" s="259"/>
      <c r="CF164" s="259"/>
      <c r="CG164" s="259"/>
      <c r="CH164" s="259"/>
      <c r="CI164" s="259"/>
      <c r="CJ164" s="259"/>
      <c r="CK164" s="259"/>
      <c r="CL164" s="259"/>
      <c r="CM164" s="259"/>
      <c r="CN164" s="259"/>
      <c r="CO164" s="259"/>
      <c r="CP164" s="259"/>
      <c r="CQ164" s="259"/>
      <c r="CR164" s="259"/>
      <c r="CS164" s="259"/>
      <c r="CT164" s="259"/>
      <c r="CU164" s="259"/>
      <c r="CV164" s="259"/>
      <c r="CW164" s="259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259"/>
      <c r="BP165" s="259"/>
      <c r="BQ165" s="259"/>
      <c r="BR165" s="259"/>
      <c r="BS165" s="259"/>
      <c r="BT165" s="259"/>
      <c r="BU165" s="259"/>
      <c r="BV165" s="259"/>
      <c r="BW165" s="259"/>
      <c r="BX165" s="259"/>
      <c r="BY165" s="259"/>
      <c r="BZ165" s="260"/>
      <c r="CA165" s="259"/>
      <c r="CB165" s="259"/>
      <c r="CC165" s="259"/>
      <c r="CD165" s="259"/>
      <c r="CE165" s="259"/>
      <c r="CF165" s="259"/>
      <c r="CG165" s="259"/>
      <c r="CH165" s="259"/>
      <c r="CI165" s="259"/>
      <c r="CJ165" s="259"/>
      <c r="CK165" s="259"/>
      <c r="CL165" s="259"/>
      <c r="CM165" s="259"/>
      <c r="CN165" s="259"/>
      <c r="CO165" s="259"/>
      <c r="CP165" s="259"/>
      <c r="CQ165" s="259"/>
      <c r="CR165" s="259"/>
      <c r="CS165" s="259"/>
      <c r="CT165" s="259"/>
      <c r="CU165" s="259"/>
      <c r="CV165" s="259"/>
      <c r="CW165" s="259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259"/>
      <c r="BP166" s="259"/>
      <c r="BQ166" s="259"/>
      <c r="BR166" s="259"/>
      <c r="BS166" s="259"/>
      <c r="BT166" s="259"/>
      <c r="BU166" s="259"/>
      <c r="BV166" s="259"/>
      <c r="BW166" s="259"/>
      <c r="BX166" s="259"/>
      <c r="BY166" s="259"/>
      <c r="BZ166" s="260"/>
      <c r="CA166" s="259"/>
      <c r="CB166" s="259"/>
      <c r="CC166" s="259"/>
      <c r="CD166" s="259"/>
      <c r="CE166" s="259"/>
      <c r="CF166" s="259"/>
      <c r="CG166" s="259"/>
      <c r="CH166" s="259"/>
      <c r="CI166" s="259"/>
      <c r="CJ166" s="259"/>
      <c r="CK166" s="259"/>
      <c r="CL166" s="259"/>
      <c r="CM166" s="259"/>
      <c r="CN166" s="259"/>
      <c r="CO166" s="259"/>
      <c r="CP166" s="259"/>
      <c r="CQ166" s="259"/>
      <c r="CR166" s="259"/>
      <c r="CS166" s="259"/>
      <c r="CT166" s="259"/>
      <c r="CU166" s="259"/>
      <c r="CV166" s="259"/>
      <c r="CW166" s="259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259"/>
      <c r="BP167" s="259"/>
      <c r="BQ167" s="259"/>
      <c r="BR167" s="259"/>
      <c r="BS167" s="259"/>
      <c r="BT167" s="259"/>
      <c r="BU167" s="259"/>
      <c r="BV167" s="259"/>
      <c r="BW167" s="259"/>
      <c r="BX167" s="259"/>
      <c r="BY167" s="259"/>
      <c r="BZ167" s="260"/>
      <c r="CA167" s="259"/>
      <c r="CB167" s="259"/>
      <c r="CC167" s="259"/>
      <c r="CD167" s="259"/>
      <c r="CE167" s="259"/>
      <c r="CF167" s="259"/>
      <c r="CG167" s="259"/>
      <c r="CH167" s="259"/>
      <c r="CI167" s="259"/>
      <c r="CJ167" s="259"/>
      <c r="CK167" s="259"/>
      <c r="CL167" s="259"/>
      <c r="CM167" s="259"/>
      <c r="CN167" s="259"/>
      <c r="CO167" s="259"/>
      <c r="CP167" s="259"/>
      <c r="CQ167" s="259"/>
      <c r="CR167" s="259"/>
      <c r="CS167" s="259"/>
      <c r="CT167" s="259"/>
      <c r="CU167" s="259"/>
      <c r="CV167" s="259"/>
      <c r="CW167" s="259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259"/>
      <c r="BP168" s="259"/>
      <c r="BQ168" s="259"/>
      <c r="BR168" s="259"/>
      <c r="BS168" s="259"/>
      <c r="BT168" s="259"/>
      <c r="BU168" s="259"/>
      <c r="BV168" s="259"/>
      <c r="BW168" s="259"/>
      <c r="BX168" s="259"/>
      <c r="BY168" s="259"/>
      <c r="BZ168" s="260"/>
      <c r="CA168" s="259"/>
      <c r="CB168" s="259"/>
      <c r="CC168" s="259"/>
      <c r="CD168" s="259"/>
      <c r="CE168" s="259"/>
      <c r="CF168" s="259"/>
      <c r="CG168" s="259"/>
      <c r="CH168" s="259"/>
      <c r="CI168" s="259"/>
      <c r="CJ168" s="259"/>
      <c r="CK168" s="259"/>
      <c r="CL168" s="259"/>
      <c r="CM168" s="259"/>
      <c r="CN168" s="259"/>
      <c r="CO168" s="259"/>
      <c r="CP168" s="259"/>
      <c r="CQ168" s="259"/>
      <c r="CR168" s="259"/>
      <c r="CS168" s="259"/>
      <c r="CT168" s="259"/>
      <c r="CU168" s="259"/>
      <c r="CV168" s="259"/>
      <c r="CW168" s="259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259"/>
      <c r="BP169" s="259"/>
      <c r="BQ169" s="259"/>
      <c r="BR169" s="259"/>
      <c r="BS169" s="259"/>
      <c r="BT169" s="259"/>
      <c r="BU169" s="259"/>
      <c r="BV169" s="259"/>
      <c r="BW169" s="259"/>
      <c r="BX169" s="259"/>
      <c r="BY169" s="259"/>
      <c r="BZ169" s="260"/>
      <c r="CA169" s="259"/>
      <c r="CB169" s="259"/>
      <c r="CC169" s="259"/>
      <c r="CD169" s="259"/>
      <c r="CE169" s="259"/>
      <c r="CF169" s="259"/>
      <c r="CG169" s="259"/>
      <c r="CH169" s="259"/>
      <c r="CI169" s="259"/>
      <c r="CJ169" s="259"/>
      <c r="CK169" s="259"/>
      <c r="CL169" s="259"/>
      <c r="CM169" s="259"/>
      <c r="CN169" s="259"/>
      <c r="CO169" s="259"/>
      <c r="CP169" s="259"/>
      <c r="CQ169" s="259"/>
      <c r="CR169" s="259"/>
      <c r="CS169" s="259"/>
      <c r="CT169" s="259"/>
      <c r="CU169" s="259"/>
      <c r="CV169" s="259"/>
      <c r="CW169" s="259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259"/>
      <c r="BP170" s="259"/>
      <c r="BQ170" s="259"/>
      <c r="BR170" s="259"/>
      <c r="BS170" s="259"/>
      <c r="BT170" s="259"/>
      <c r="BU170" s="259"/>
      <c r="BV170" s="259"/>
      <c r="BW170" s="259"/>
      <c r="BX170" s="259"/>
      <c r="BY170" s="259"/>
      <c r="BZ170" s="260"/>
      <c r="CA170" s="259"/>
      <c r="CB170" s="259"/>
      <c r="CC170" s="259"/>
      <c r="CD170" s="259"/>
      <c r="CE170" s="259"/>
      <c r="CF170" s="259"/>
      <c r="CG170" s="259"/>
      <c r="CH170" s="259"/>
      <c r="CI170" s="259"/>
      <c r="CJ170" s="259"/>
      <c r="CK170" s="259"/>
      <c r="CL170" s="259"/>
      <c r="CM170" s="259"/>
      <c r="CN170" s="259"/>
      <c r="CO170" s="259"/>
      <c r="CP170" s="259"/>
      <c r="CQ170" s="259"/>
      <c r="CR170" s="259"/>
      <c r="CS170" s="259"/>
      <c r="CT170" s="259"/>
      <c r="CU170" s="259"/>
      <c r="CV170" s="259"/>
      <c r="CW170" s="259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259"/>
      <c r="BP171" s="259"/>
      <c r="BQ171" s="259"/>
      <c r="BR171" s="259"/>
      <c r="BS171" s="259"/>
      <c r="BT171" s="259"/>
      <c r="BU171" s="259"/>
      <c r="BV171" s="259"/>
      <c r="BW171" s="259"/>
      <c r="BX171" s="259"/>
      <c r="BY171" s="259"/>
      <c r="BZ171" s="260"/>
      <c r="CA171" s="259"/>
      <c r="CB171" s="259"/>
      <c r="CC171" s="259"/>
      <c r="CD171" s="259"/>
      <c r="CE171" s="259"/>
      <c r="CF171" s="259"/>
      <c r="CG171" s="259"/>
      <c r="CH171" s="259"/>
      <c r="CI171" s="259"/>
      <c r="CJ171" s="259"/>
      <c r="CK171" s="259"/>
      <c r="CL171" s="259"/>
      <c r="CM171" s="259"/>
      <c r="CN171" s="259"/>
      <c r="CO171" s="259"/>
      <c r="CP171" s="259"/>
      <c r="CQ171" s="259"/>
      <c r="CR171" s="259"/>
      <c r="CS171" s="259"/>
      <c r="CT171" s="259"/>
      <c r="CU171" s="259"/>
      <c r="CV171" s="259"/>
      <c r="CW171" s="259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259"/>
      <c r="BP172" s="259"/>
      <c r="BQ172" s="259"/>
      <c r="BR172" s="259"/>
      <c r="BS172" s="259"/>
      <c r="BT172" s="259"/>
      <c r="BU172" s="259"/>
      <c r="BV172" s="259"/>
      <c r="BW172" s="259"/>
      <c r="BX172" s="259"/>
      <c r="BY172" s="259"/>
      <c r="BZ172" s="260"/>
      <c r="CA172" s="259"/>
      <c r="CB172" s="259"/>
      <c r="CC172" s="259"/>
      <c r="CD172" s="259"/>
      <c r="CE172" s="259"/>
      <c r="CF172" s="259"/>
      <c r="CG172" s="259"/>
      <c r="CH172" s="259"/>
      <c r="CI172" s="259"/>
      <c r="CJ172" s="259"/>
      <c r="CK172" s="259"/>
      <c r="CL172" s="259"/>
      <c r="CM172" s="259"/>
      <c r="CN172" s="259"/>
      <c r="CO172" s="259"/>
      <c r="CP172" s="259"/>
      <c r="CQ172" s="259"/>
      <c r="CR172" s="259"/>
      <c r="CS172" s="259"/>
      <c r="CT172" s="259"/>
      <c r="CU172" s="259"/>
      <c r="CV172" s="259"/>
      <c r="CW172" s="259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259"/>
      <c r="BP173" s="259"/>
      <c r="BQ173" s="259"/>
      <c r="BR173" s="259"/>
      <c r="BS173" s="259"/>
      <c r="BT173" s="259"/>
      <c r="BU173" s="259"/>
      <c r="BV173" s="259"/>
      <c r="BW173" s="259"/>
      <c r="BX173" s="259"/>
      <c r="BY173" s="259"/>
      <c r="BZ173" s="260"/>
      <c r="CA173" s="259"/>
      <c r="CB173" s="259"/>
      <c r="CC173" s="259"/>
      <c r="CD173" s="259"/>
      <c r="CE173" s="259"/>
      <c r="CF173" s="259"/>
      <c r="CG173" s="259"/>
      <c r="CH173" s="259"/>
      <c r="CI173" s="259"/>
      <c r="CJ173" s="259"/>
      <c r="CK173" s="259"/>
      <c r="CL173" s="259"/>
      <c r="CM173" s="259"/>
      <c r="CN173" s="259"/>
      <c r="CO173" s="259"/>
      <c r="CP173" s="259"/>
      <c r="CQ173" s="259"/>
      <c r="CR173" s="259"/>
      <c r="CS173" s="259"/>
      <c r="CT173" s="259"/>
      <c r="CU173" s="259"/>
      <c r="CV173" s="259"/>
      <c r="CW173" s="259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259"/>
      <c r="BP174" s="259"/>
      <c r="BQ174" s="259"/>
      <c r="BR174" s="259"/>
      <c r="BS174" s="259"/>
      <c r="BT174" s="259"/>
      <c r="BU174" s="259"/>
      <c r="BV174" s="259"/>
      <c r="BW174" s="259"/>
      <c r="BX174" s="259"/>
      <c r="BY174" s="259"/>
      <c r="BZ174" s="260"/>
      <c r="CA174" s="259"/>
      <c r="CB174" s="259"/>
      <c r="CC174" s="259"/>
      <c r="CD174" s="259"/>
      <c r="CE174" s="259"/>
      <c r="CF174" s="259"/>
      <c r="CG174" s="259"/>
      <c r="CH174" s="259"/>
      <c r="CI174" s="259"/>
      <c r="CJ174" s="259"/>
      <c r="CK174" s="259"/>
      <c r="CL174" s="259"/>
      <c r="CM174" s="259"/>
      <c r="CN174" s="259"/>
      <c r="CO174" s="259"/>
      <c r="CP174" s="259"/>
      <c r="CQ174" s="259"/>
      <c r="CR174" s="259"/>
      <c r="CS174" s="259"/>
      <c r="CT174" s="259"/>
      <c r="CU174" s="259"/>
      <c r="CV174" s="259"/>
      <c r="CW174" s="259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259"/>
      <c r="BP175" s="259"/>
      <c r="BQ175" s="259"/>
      <c r="BR175" s="259"/>
      <c r="BS175" s="259"/>
      <c r="BT175" s="259"/>
      <c r="BU175" s="259"/>
      <c r="BV175" s="259"/>
      <c r="BW175" s="259"/>
      <c r="BX175" s="259"/>
      <c r="BY175" s="259"/>
      <c r="BZ175" s="260"/>
      <c r="CA175" s="259"/>
      <c r="CB175" s="259"/>
      <c r="CC175" s="259"/>
      <c r="CD175" s="259"/>
      <c r="CE175" s="259"/>
      <c r="CF175" s="259"/>
      <c r="CG175" s="259"/>
      <c r="CH175" s="259"/>
      <c r="CI175" s="259"/>
      <c r="CJ175" s="259"/>
      <c r="CK175" s="259"/>
      <c r="CL175" s="259"/>
      <c r="CM175" s="259"/>
      <c r="CN175" s="259"/>
      <c r="CO175" s="259"/>
      <c r="CP175" s="259"/>
      <c r="CQ175" s="259"/>
      <c r="CR175" s="259"/>
      <c r="CS175" s="259"/>
      <c r="CT175" s="259"/>
      <c r="CU175" s="259"/>
      <c r="CV175" s="259"/>
      <c r="CW175" s="259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259"/>
      <c r="BP176" s="259"/>
      <c r="BQ176" s="259"/>
      <c r="BR176" s="259"/>
      <c r="BS176" s="259"/>
      <c r="BT176" s="259"/>
      <c r="BU176" s="259"/>
      <c r="BV176" s="259"/>
      <c r="BW176" s="259"/>
      <c r="BX176" s="259"/>
      <c r="BY176" s="259"/>
      <c r="BZ176" s="260"/>
      <c r="CA176" s="259"/>
      <c r="CB176" s="259"/>
      <c r="CC176" s="259"/>
      <c r="CD176" s="259"/>
      <c r="CE176" s="259"/>
      <c r="CF176" s="259"/>
      <c r="CG176" s="259"/>
      <c r="CH176" s="259"/>
      <c r="CI176" s="259"/>
      <c r="CJ176" s="259"/>
      <c r="CK176" s="259"/>
      <c r="CL176" s="259"/>
      <c r="CM176" s="259"/>
      <c r="CN176" s="259"/>
      <c r="CO176" s="259"/>
      <c r="CP176" s="259"/>
      <c r="CQ176" s="259"/>
      <c r="CR176" s="259"/>
      <c r="CS176" s="259"/>
      <c r="CT176" s="259"/>
      <c r="CU176" s="259"/>
      <c r="CV176" s="259"/>
      <c r="CW176" s="259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259"/>
      <c r="BP177" s="259"/>
      <c r="BQ177" s="259"/>
      <c r="BR177" s="259"/>
      <c r="BS177" s="259"/>
      <c r="BT177" s="259"/>
      <c r="BU177" s="259"/>
      <c r="BV177" s="259"/>
      <c r="BW177" s="259"/>
      <c r="BX177" s="259"/>
      <c r="BY177" s="259"/>
      <c r="BZ177" s="260"/>
      <c r="CA177" s="259"/>
      <c r="CB177" s="259"/>
      <c r="CC177" s="259"/>
      <c r="CD177" s="259"/>
      <c r="CE177" s="259"/>
      <c r="CF177" s="259"/>
      <c r="CG177" s="259"/>
      <c r="CH177" s="259"/>
      <c r="CI177" s="259"/>
      <c r="CJ177" s="259"/>
      <c r="CK177" s="259"/>
      <c r="CL177" s="259"/>
      <c r="CM177" s="259"/>
      <c r="CN177" s="259"/>
      <c r="CO177" s="259"/>
      <c r="CP177" s="259"/>
      <c r="CQ177" s="259"/>
      <c r="CR177" s="259"/>
      <c r="CS177" s="259"/>
      <c r="CT177" s="259"/>
      <c r="CU177" s="259"/>
      <c r="CV177" s="259"/>
      <c r="CW177" s="259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259"/>
      <c r="BP178" s="259"/>
      <c r="BQ178" s="259"/>
      <c r="BR178" s="259"/>
      <c r="BS178" s="259"/>
      <c r="BT178" s="259"/>
      <c r="BU178" s="259"/>
      <c r="BV178" s="259"/>
      <c r="BW178" s="259"/>
      <c r="BX178" s="259"/>
      <c r="BY178" s="259"/>
      <c r="BZ178" s="260"/>
      <c r="CA178" s="259"/>
      <c r="CB178" s="259"/>
      <c r="CC178" s="259"/>
      <c r="CD178" s="259"/>
      <c r="CE178" s="259"/>
      <c r="CF178" s="259"/>
      <c r="CG178" s="259"/>
      <c r="CH178" s="259"/>
      <c r="CI178" s="259"/>
      <c r="CJ178" s="259"/>
      <c r="CK178" s="259"/>
      <c r="CL178" s="259"/>
      <c r="CM178" s="259"/>
      <c r="CN178" s="259"/>
      <c r="CO178" s="259"/>
      <c r="CP178" s="259"/>
      <c r="CQ178" s="259"/>
      <c r="CR178" s="259"/>
      <c r="CS178" s="259"/>
      <c r="CT178" s="259"/>
      <c r="CU178" s="259"/>
      <c r="CV178" s="259"/>
      <c r="CW178" s="259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259"/>
      <c r="BP179" s="259"/>
      <c r="BQ179" s="259"/>
      <c r="BR179" s="259"/>
      <c r="BS179" s="259"/>
      <c r="BT179" s="259"/>
      <c r="BU179" s="259"/>
      <c r="BV179" s="259"/>
      <c r="BW179" s="259"/>
      <c r="BX179" s="259"/>
      <c r="BY179" s="259"/>
      <c r="BZ179" s="260"/>
      <c r="CA179" s="259"/>
      <c r="CB179" s="259"/>
      <c r="CC179" s="259"/>
      <c r="CD179" s="259"/>
      <c r="CE179" s="259"/>
      <c r="CF179" s="259"/>
      <c r="CG179" s="259"/>
      <c r="CH179" s="259"/>
      <c r="CI179" s="259"/>
      <c r="CJ179" s="259"/>
      <c r="CK179" s="259"/>
      <c r="CL179" s="259"/>
      <c r="CM179" s="259"/>
      <c r="CN179" s="259"/>
      <c r="CO179" s="259"/>
      <c r="CP179" s="259"/>
      <c r="CQ179" s="259"/>
      <c r="CR179" s="259"/>
      <c r="CS179" s="259"/>
      <c r="CT179" s="259"/>
      <c r="CU179" s="259"/>
      <c r="CV179" s="259"/>
      <c r="CW179" s="259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259"/>
      <c r="BP180" s="259"/>
      <c r="BQ180" s="259"/>
      <c r="BR180" s="259"/>
      <c r="BS180" s="259"/>
      <c r="BT180" s="259"/>
      <c r="BU180" s="259"/>
      <c r="BV180" s="259"/>
      <c r="BW180" s="259"/>
      <c r="BX180" s="259"/>
      <c r="BY180" s="259"/>
      <c r="BZ180" s="260"/>
      <c r="CA180" s="259"/>
      <c r="CB180" s="259"/>
      <c r="CC180" s="259"/>
      <c r="CD180" s="259"/>
      <c r="CE180" s="259"/>
      <c r="CF180" s="259"/>
      <c r="CG180" s="259"/>
      <c r="CH180" s="259"/>
      <c r="CI180" s="259"/>
      <c r="CJ180" s="259"/>
      <c r="CK180" s="259"/>
      <c r="CL180" s="259"/>
      <c r="CM180" s="259"/>
      <c r="CN180" s="259"/>
      <c r="CO180" s="259"/>
      <c r="CP180" s="259"/>
      <c r="CQ180" s="259"/>
      <c r="CR180" s="259"/>
      <c r="CS180" s="259"/>
      <c r="CT180" s="259"/>
      <c r="CU180" s="259"/>
      <c r="CV180" s="259"/>
      <c r="CW180" s="259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259"/>
      <c r="BP181" s="259"/>
      <c r="BQ181" s="259"/>
      <c r="BR181" s="259"/>
      <c r="BS181" s="259"/>
      <c r="BT181" s="259"/>
      <c r="BU181" s="259"/>
      <c r="BV181" s="259"/>
      <c r="BW181" s="259"/>
      <c r="BX181" s="259"/>
      <c r="BY181" s="259"/>
      <c r="BZ181" s="260"/>
      <c r="CA181" s="259"/>
      <c r="CB181" s="259"/>
      <c r="CC181" s="259"/>
      <c r="CD181" s="259"/>
      <c r="CE181" s="259"/>
      <c r="CF181" s="259"/>
      <c r="CG181" s="259"/>
      <c r="CH181" s="259"/>
      <c r="CI181" s="259"/>
      <c r="CJ181" s="259"/>
      <c r="CK181" s="259"/>
      <c r="CL181" s="259"/>
      <c r="CM181" s="259"/>
      <c r="CN181" s="259"/>
      <c r="CO181" s="259"/>
      <c r="CP181" s="259"/>
      <c r="CQ181" s="259"/>
      <c r="CR181" s="259"/>
      <c r="CS181" s="259"/>
      <c r="CT181" s="259"/>
      <c r="CU181" s="259"/>
      <c r="CV181" s="259"/>
      <c r="CW181" s="259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259"/>
      <c r="BP182" s="259"/>
      <c r="BQ182" s="259"/>
      <c r="BR182" s="259"/>
      <c r="BS182" s="259"/>
      <c r="BT182" s="259"/>
      <c r="BU182" s="259"/>
      <c r="BV182" s="259"/>
      <c r="BW182" s="259"/>
      <c r="BX182" s="259"/>
      <c r="BY182" s="259"/>
      <c r="BZ182" s="260"/>
      <c r="CA182" s="259"/>
      <c r="CB182" s="259"/>
      <c r="CC182" s="259"/>
      <c r="CD182" s="259"/>
      <c r="CE182" s="259"/>
      <c r="CF182" s="259"/>
      <c r="CG182" s="259"/>
      <c r="CH182" s="259"/>
      <c r="CI182" s="259"/>
      <c r="CJ182" s="259"/>
      <c r="CK182" s="259"/>
      <c r="CL182" s="259"/>
      <c r="CM182" s="259"/>
      <c r="CN182" s="259"/>
      <c r="CO182" s="259"/>
      <c r="CP182" s="259"/>
      <c r="CQ182" s="259"/>
      <c r="CR182" s="259"/>
      <c r="CS182" s="259"/>
      <c r="CT182" s="259"/>
      <c r="CU182" s="259"/>
      <c r="CV182" s="259"/>
      <c r="CW182" s="259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259"/>
      <c r="BP183" s="259"/>
      <c r="BQ183" s="259"/>
      <c r="BR183" s="259"/>
      <c r="BS183" s="259"/>
      <c r="BT183" s="259"/>
      <c r="BU183" s="259"/>
      <c r="BV183" s="259"/>
      <c r="BW183" s="259"/>
      <c r="BX183" s="259"/>
      <c r="BY183" s="259"/>
      <c r="BZ183" s="260"/>
      <c r="CA183" s="259"/>
      <c r="CB183" s="259"/>
      <c r="CC183" s="259"/>
      <c r="CD183" s="259"/>
      <c r="CE183" s="259"/>
      <c r="CF183" s="259"/>
      <c r="CG183" s="259"/>
      <c r="CH183" s="259"/>
      <c r="CI183" s="259"/>
      <c r="CJ183" s="259"/>
      <c r="CK183" s="259"/>
      <c r="CL183" s="259"/>
      <c r="CM183" s="259"/>
      <c r="CN183" s="259"/>
      <c r="CO183" s="259"/>
      <c r="CP183" s="259"/>
      <c r="CQ183" s="259"/>
      <c r="CR183" s="259"/>
      <c r="CS183" s="259"/>
      <c r="CT183" s="259"/>
      <c r="CU183" s="259"/>
      <c r="CV183" s="259"/>
      <c r="CW183" s="259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259"/>
      <c r="BP184" s="259"/>
      <c r="BQ184" s="259"/>
      <c r="BR184" s="259"/>
      <c r="BS184" s="259"/>
      <c r="BT184" s="259"/>
      <c r="BU184" s="259"/>
      <c r="BV184" s="259"/>
      <c r="BW184" s="259"/>
      <c r="BX184" s="259"/>
      <c r="BY184" s="259"/>
      <c r="BZ184" s="260"/>
      <c r="CA184" s="259"/>
      <c r="CB184" s="259"/>
      <c r="CC184" s="259"/>
      <c r="CD184" s="259"/>
      <c r="CE184" s="259"/>
      <c r="CF184" s="259"/>
      <c r="CG184" s="259"/>
      <c r="CH184" s="259"/>
      <c r="CI184" s="259"/>
      <c r="CJ184" s="259"/>
      <c r="CK184" s="259"/>
      <c r="CL184" s="259"/>
      <c r="CM184" s="259"/>
      <c r="CN184" s="259"/>
      <c r="CO184" s="259"/>
      <c r="CP184" s="259"/>
      <c r="CQ184" s="259"/>
      <c r="CR184" s="259"/>
      <c r="CS184" s="259"/>
      <c r="CT184" s="259"/>
      <c r="CU184" s="259"/>
      <c r="CV184" s="259"/>
      <c r="CW184" s="259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259"/>
      <c r="BP185" s="259"/>
      <c r="BQ185" s="259"/>
      <c r="BR185" s="259"/>
      <c r="BS185" s="259"/>
      <c r="BT185" s="259"/>
      <c r="BU185" s="259"/>
      <c r="BV185" s="259"/>
      <c r="BW185" s="259"/>
      <c r="BX185" s="259"/>
      <c r="BY185" s="259"/>
      <c r="BZ185" s="260"/>
      <c r="CA185" s="259"/>
      <c r="CB185" s="259"/>
      <c r="CC185" s="259"/>
      <c r="CD185" s="259"/>
      <c r="CE185" s="259"/>
      <c r="CF185" s="259"/>
      <c r="CG185" s="259"/>
      <c r="CH185" s="259"/>
      <c r="CI185" s="259"/>
      <c r="CJ185" s="259"/>
      <c r="CK185" s="259"/>
      <c r="CL185" s="259"/>
      <c r="CM185" s="259"/>
      <c r="CN185" s="259"/>
      <c r="CO185" s="259"/>
      <c r="CP185" s="259"/>
      <c r="CQ185" s="259"/>
      <c r="CR185" s="259"/>
      <c r="CS185" s="259"/>
      <c r="CT185" s="259"/>
      <c r="CU185" s="259"/>
      <c r="CV185" s="259"/>
      <c r="CW185" s="259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259"/>
      <c r="BP186" s="259"/>
      <c r="BQ186" s="259"/>
      <c r="BR186" s="259"/>
      <c r="BS186" s="259"/>
      <c r="BT186" s="259"/>
      <c r="BU186" s="259"/>
      <c r="BV186" s="259"/>
      <c r="BW186" s="259"/>
      <c r="BX186" s="259"/>
      <c r="BY186" s="259"/>
      <c r="BZ186" s="260"/>
      <c r="CA186" s="259"/>
      <c r="CB186" s="259"/>
      <c r="CC186" s="259"/>
      <c r="CD186" s="259"/>
      <c r="CE186" s="259"/>
      <c r="CF186" s="259"/>
      <c r="CG186" s="259"/>
      <c r="CH186" s="259"/>
      <c r="CI186" s="259"/>
      <c r="CJ186" s="259"/>
      <c r="CK186" s="259"/>
      <c r="CL186" s="259"/>
      <c r="CM186" s="259"/>
      <c r="CN186" s="259"/>
      <c r="CO186" s="259"/>
      <c r="CP186" s="259"/>
      <c r="CQ186" s="259"/>
      <c r="CR186" s="259"/>
      <c r="CS186" s="259"/>
      <c r="CT186" s="259"/>
      <c r="CU186" s="259"/>
      <c r="CV186" s="259"/>
      <c r="CW186" s="259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259"/>
      <c r="BP187" s="259"/>
      <c r="BQ187" s="259"/>
      <c r="BR187" s="259"/>
      <c r="BS187" s="259"/>
      <c r="BT187" s="259"/>
      <c r="BU187" s="259"/>
      <c r="BV187" s="259"/>
      <c r="BW187" s="259"/>
      <c r="BX187" s="259"/>
      <c r="BY187" s="259"/>
      <c r="BZ187" s="260"/>
      <c r="CA187" s="259"/>
      <c r="CB187" s="259"/>
      <c r="CC187" s="259"/>
      <c r="CD187" s="259"/>
      <c r="CE187" s="259"/>
      <c r="CF187" s="259"/>
      <c r="CG187" s="259"/>
      <c r="CH187" s="259"/>
      <c r="CI187" s="259"/>
      <c r="CJ187" s="259"/>
      <c r="CK187" s="259"/>
      <c r="CL187" s="259"/>
      <c r="CM187" s="259"/>
      <c r="CN187" s="259"/>
      <c r="CO187" s="259"/>
      <c r="CP187" s="259"/>
      <c r="CQ187" s="259"/>
      <c r="CR187" s="259"/>
      <c r="CS187" s="259"/>
      <c r="CT187" s="259"/>
      <c r="CU187" s="259"/>
      <c r="CV187" s="259"/>
      <c r="CW187" s="259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259"/>
      <c r="BP188" s="259"/>
      <c r="BQ188" s="259"/>
      <c r="BR188" s="259"/>
      <c r="BS188" s="259"/>
      <c r="BT188" s="259"/>
      <c r="BU188" s="259"/>
      <c r="BV188" s="259"/>
      <c r="BW188" s="259"/>
      <c r="BX188" s="259"/>
      <c r="BY188" s="259"/>
      <c r="BZ188" s="260"/>
      <c r="CA188" s="259"/>
      <c r="CB188" s="259"/>
      <c r="CC188" s="259"/>
      <c r="CD188" s="259"/>
      <c r="CE188" s="259"/>
      <c r="CF188" s="259"/>
      <c r="CG188" s="259"/>
      <c r="CH188" s="259"/>
      <c r="CI188" s="259"/>
      <c r="CJ188" s="259"/>
      <c r="CK188" s="259"/>
      <c r="CL188" s="259"/>
      <c r="CM188" s="259"/>
      <c r="CN188" s="259"/>
      <c r="CO188" s="259"/>
      <c r="CP188" s="259"/>
      <c r="CQ188" s="259"/>
      <c r="CR188" s="259"/>
      <c r="CS188" s="259"/>
      <c r="CT188" s="259"/>
      <c r="CU188" s="259"/>
      <c r="CV188" s="259"/>
      <c r="CW188" s="259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259"/>
      <c r="BP189" s="259"/>
      <c r="BQ189" s="259"/>
      <c r="BR189" s="259"/>
      <c r="BS189" s="259"/>
      <c r="BT189" s="259"/>
      <c r="BU189" s="259"/>
      <c r="BV189" s="259"/>
      <c r="BW189" s="259"/>
      <c r="BX189" s="259"/>
      <c r="BY189" s="259"/>
      <c r="BZ189" s="260"/>
      <c r="CA189" s="259"/>
      <c r="CB189" s="259"/>
      <c r="CC189" s="259"/>
      <c r="CD189" s="259"/>
      <c r="CE189" s="259"/>
      <c r="CF189" s="259"/>
      <c r="CG189" s="259"/>
      <c r="CH189" s="259"/>
      <c r="CI189" s="259"/>
      <c r="CJ189" s="259"/>
      <c r="CK189" s="259"/>
      <c r="CL189" s="259"/>
      <c r="CM189" s="259"/>
      <c r="CN189" s="259"/>
      <c r="CO189" s="259"/>
      <c r="CP189" s="259"/>
      <c r="CQ189" s="259"/>
      <c r="CR189" s="259"/>
      <c r="CS189" s="259"/>
      <c r="CT189" s="259"/>
      <c r="CU189" s="259"/>
      <c r="CV189" s="259"/>
      <c r="CW189" s="259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259"/>
      <c r="BP190" s="259"/>
      <c r="BQ190" s="259"/>
      <c r="BR190" s="259"/>
      <c r="BS190" s="259"/>
      <c r="BT190" s="259"/>
      <c r="BU190" s="259"/>
      <c r="BV190" s="259"/>
      <c r="BW190" s="259"/>
      <c r="BX190" s="259"/>
      <c r="BY190" s="259"/>
      <c r="BZ190" s="260"/>
      <c r="CA190" s="259"/>
      <c r="CB190" s="259"/>
      <c r="CC190" s="259"/>
      <c r="CD190" s="259"/>
      <c r="CE190" s="259"/>
      <c r="CF190" s="259"/>
      <c r="CG190" s="259"/>
      <c r="CH190" s="259"/>
      <c r="CI190" s="259"/>
      <c r="CJ190" s="259"/>
      <c r="CK190" s="259"/>
      <c r="CL190" s="259"/>
      <c r="CM190" s="259"/>
      <c r="CN190" s="259"/>
      <c r="CO190" s="259"/>
      <c r="CP190" s="259"/>
      <c r="CQ190" s="259"/>
      <c r="CR190" s="259"/>
      <c r="CS190" s="259"/>
      <c r="CT190" s="259"/>
      <c r="CU190" s="259"/>
      <c r="CV190" s="259"/>
      <c r="CW190" s="259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259"/>
      <c r="BP191" s="259"/>
      <c r="BQ191" s="259"/>
      <c r="BR191" s="259"/>
      <c r="BS191" s="259"/>
      <c r="BT191" s="259"/>
      <c r="BU191" s="259"/>
      <c r="BV191" s="259"/>
      <c r="BW191" s="259"/>
      <c r="BX191" s="259"/>
      <c r="BY191" s="259"/>
      <c r="BZ191" s="260"/>
      <c r="CA191" s="259"/>
      <c r="CB191" s="259"/>
      <c r="CC191" s="259"/>
      <c r="CD191" s="259"/>
      <c r="CE191" s="259"/>
      <c r="CF191" s="259"/>
      <c r="CG191" s="259"/>
      <c r="CH191" s="259"/>
      <c r="CI191" s="259"/>
      <c r="CJ191" s="259"/>
      <c r="CK191" s="259"/>
      <c r="CL191" s="259"/>
      <c r="CM191" s="259"/>
      <c r="CN191" s="259"/>
      <c r="CO191" s="259"/>
      <c r="CP191" s="259"/>
      <c r="CQ191" s="259"/>
      <c r="CR191" s="259"/>
      <c r="CS191" s="259"/>
      <c r="CT191" s="259"/>
      <c r="CU191" s="259"/>
      <c r="CV191" s="259"/>
      <c r="CW191" s="259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259"/>
      <c r="BP192" s="259"/>
      <c r="BQ192" s="259"/>
      <c r="BR192" s="259"/>
      <c r="BS192" s="259"/>
      <c r="BT192" s="259"/>
      <c r="BU192" s="259"/>
      <c r="BV192" s="259"/>
      <c r="BW192" s="259"/>
      <c r="BX192" s="259"/>
      <c r="BY192" s="259"/>
      <c r="BZ192" s="260"/>
      <c r="CA192" s="259"/>
      <c r="CB192" s="259"/>
      <c r="CC192" s="259"/>
      <c r="CD192" s="259"/>
      <c r="CE192" s="259"/>
      <c r="CF192" s="259"/>
      <c r="CG192" s="259"/>
      <c r="CH192" s="259"/>
      <c r="CI192" s="259"/>
      <c r="CJ192" s="259"/>
      <c r="CK192" s="259"/>
      <c r="CL192" s="259"/>
      <c r="CM192" s="259"/>
      <c r="CN192" s="259"/>
      <c r="CO192" s="259"/>
      <c r="CP192" s="259"/>
      <c r="CQ192" s="259"/>
      <c r="CR192" s="259"/>
      <c r="CS192" s="259"/>
      <c r="CT192" s="259"/>
      <c r="CU192" s="259"/>
      <c r="CV192" s="259"/>
      <c r="CW192" s="259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259"/>
      <c r="BP193" s="259"/>
      <c r="BQ193" s="259"/>
      <c r="BR193" s="259"/>
      <c r="BS193" s="259"/>
      <c r="BT193" s="259"/>
      <c r="BU193" s="259"/>
      <c r="BV193" s="259"/>
      <c r="BW193" s="259"/>
      <c r="BX193" s="259"/>
      <c r="BY193" s="259"/>
      <c r="BZ193" s="260"/>
      <c r="CA193" s="259"/>
      <c r="CB193" s="259"/>
      <c r="CC193" s="259"/>
      <c r="CD193" s="259"/>
      <c r="CE193" s="259"/>
      <c r="CF193" s="259"/>
      <c r="CG193" s="259"/>
      <c r="CH193" s="259"/>
      <c r="CI193" s="259"/>
      <c r="CJ193" s="259"/>
      <c r="CK193" s="259"/>
      <c r="CL193" s="259"/>
      <c r="CM193" s="259"/>
      <c r="CN193" s="259"/>
      <c r="CO193" s="259"/>
      <c r="CP193" s="259"/>
      <c r="CQ193" s="259"/>
      <c r="CR193" s="259"/>
      <c r="CS193" s="259"/>
      <c r="CT193" s="259"/>
      <c r="CU193" s="259"/>
      <c r="CV193" s="259"/>
      <c r="CW193" s="259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259"/>
      <c r="BP194" s="259"/>
      <c r="BQ194" s="259"/>
      <c r="BR194" s="259"/>
      <c r="BS194" s="259"/>
      <c r="BT194" s="259"/>
      <c r="BU194" s="259"/>
      <c r="BV194" s="259"/>
      <c r="BW194" s="259"/>
      <c r="BX194" s="259"/>
      <c r="BY194" s="259"/>
      <c r="BZ194" s="260"/>
      <c r="CA194" s="259"/>
      <c r="CB194" s="259"/>
      <c r="CC194" s="259"/>
      <c r="CD194" s="259"/>
      <c r="CE194" s="259"/>
      <c r="CF194" s="259"/>
      <c r="CG194" s="259"/>
      <c r="CH194" s="259"/>
      <c r="CI194" s="259"/>
      <c r="CJ194" s="259"/>
      <c r="CK194" s="259"/>
      <c r="CL194" s="259"/>
      <c r="CM194" s="259"/>
      <c r="CN194" s="259"/>
      <c r="CO194" s="259"/>
      <c r="CP194" s="259"/>
      <c r="CQ194" s="259"/>
      <c r="CR194" s="259"/>
      <c r="CS194" s="259"/>
      <c r="CT194" s="259"/>
      <c r="CU194" s="259"/>
      <c r="CV194" s="259"/>
      <c r="CW194" s="259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259"/>
      <c r="BP195" s="259"/>
      <c r="BQ195" s="259"/>
      <c r="BR195" s="259"/>
      <c r="BS195" s="259"/>
      <c r="BT195" s="259"/>
      <c r="BU195" s="259"/>
      <c r="BV195" s="259"/>
      <c r="BW195" s="259"/>
      <c r="BX195" s="259"/>
      <c r="BY195" s="259"/>
      <c r="BZ195" s="260"/>
      <c r="CA195" s="259"/>
      <c r="CB195" s="259"/>
      <c r="CC195" s="259"/>
      <c r="CD195" s="259"/>
      <c r="CE195" s="259"/>
      <c r="CF195" s="259"/>
      <c r="CG195" s="259"/>
      <c r="CH195" s="259"/>
      <c r="CI195" s="259"/>
      <c r="CJ195" s="259"/>
      <c r="CK195" s="259"/>
      <c r="CL195" s="259"/>
      <c r="CM195" s="259"/>
      <c r="CN195" s="259"/>
      <c r="CO195" s="259"/>
      <c r="CP195" s="259"/>
      <c r="CQ195" s="259"/>
      <c r="CR195" s="259"/>
      <c r="CS195" s="259"/>
      <c r="CT195" s="259"/>
      <c r="CU195" s="259"/>
      <c r="CV195" s="259"/>
      <c r="CW195" s="259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259"/>
      <c r="BP196" s="259"/>
      <c r="BQ196" s="259"/>
      <c r="BR196" s="259"/>
      <c r="BS196" s="259"/>
      <c r="BT196" s="259"/>
      <c r="BU196" s="259"/>
      <c r="BV196" s="259"/>
      <c r="BW196" s="259"/>
      <c r="BX196" s="259"/>
      <c r="BY196" s="259"/>
      <c r="BZ196" s="260"/>
      <c r="CA196" s="259"/>
      <c r="CB196" s="259"/>
      <c r="CC196" s="259"/>
      <c r="CD196" s="259"/>
      <c r="CE196" s="259"/>
      <c r="CF196" s="259"/>
      <c r="CG196" s="259"/>
      <c r="CH196" s="259"/>
      <c r="CI196" s="259"/>
      <c r="CJ196" s="259"/>
      <c r="CK196" s="259"/>
      <c r="CL196" s="259"/>
      <c r="CM196" s="259"/>
      <c r="CN196" s="259"/>
      <c r="CO196" s="259"/>
      <c r="CP196" s="259"/>
      <c r="CQ196" s="259"/>
      <c r="CR196" s="259"/>
      <c r="CS196" s="259"/>
      <c r="CT196" s="259"/>
      <c r="CU196" s="259"/>
      <c r="CV196" s="259"/>
      <c r="CW196" s="259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259"/>
      <c r="BP197" s="259"/>
      <c r="BQ197" s="259"/>
      <c r="BR197" s="259"/>
      <c r="BS197" s="259"/>
      <c r="BT197" s="259"/>
      <c r="BU197" s="259"/>
      <c r="BV197" s="259"/>
      <c r="BW197" s="259"/>
      <c r="BX197" s="259"/>
      <c r="BY197" s="259"/>
      <c r="BZ197" s="260"/>
      <c r="CA197" s="259"/>
      <c r="CB197" s="259"/>
      <c r="CC197" s="259"/>
      <c r="CD197" s="259"/>
      <c r="CE197" s="259"/>
      <c r="CF197" s="259"/>
      <c r="CG197" s="259"/>
      <c r="CH197" s="259"/>
      <c r="CI197" s="259"/>
      <c r="CJ197" s="259"/>
      <c r="CK197" s="259"/>
      <c r="CL197" s="259"/>
      <c r="CM197" s="259"/>
      <c r="CN197" s="259"/>
      <c r="CO197" s="259"/>
      <c r="CP197" s="259"/>
      <c r="CQ197" s="259"/>
      <c r="CR197" s="259"/>
      <c r="CS197" s="259"/>
      <c r="CT197" s="259"/>
      <c r="CU197" s="259"/>
      <c r="CV197" s="259"/>
      <c r="CW197" s="259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259"/>
      <c r="BP198" s="259"/>
      <c r="BQ198" s="259"/>
      <c r="BR198" s="259"/>
      <c r="BS198" s="259"/>
      <c r="BT198" s="259"/>
      <c r="BU198" s="259"/>
      <c r="BV198" s="259"/>
      <c r="BW198" s="259"/>
      <c r="BX198" s="259"/>
      <c r="BY198" s="259"/>
      <c r="BZ198" s="260"/>
      <c r="CA198" s="259"/>
      <c r="CB198" s="259"/>
      <c r="CC198" s="259"/>
      <c r="CD198" s="259"/>
      <c r="CE198" s="259"/>
      <c r="CF198" s="259"/>
      <c r="CG198" s="259"/>
      <c r="CH198" s="259"/>
      <c r="CI198" s="259"/>
      <c r="CJ198" s="259"/>
      <c r="CK198" s="259"/>
      <c r="CL198" s="259"/>
      <c r="CM198" s="259"/>
      <c r="CN198" s="259"/>
      <c r="CO198" s="259"/>
      <c r="CP198" s="259"/>
      <c r="CQ198" s="259"/>
      <c r="CR198" s="259"/>
      <c r="CS198" s="259"/>
      <c r="CT198" s="259"/>
      <c r="CU198" s="259"/>
      <c r="CV198" s="259"/>
      <c r="CW198" s="259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259"/>
      <c r="BP199" s="259"/>
      <c r="BQ199" s="259"/>
      <c r="BR199" s="259"/>
      <c r="BS199" s="259"/>
      <c r="BT199" s="259"/>
      <c r="BU199" s="259"/>
      <c r="BV199" s="259"/>
      <c r="BW199" s="259"/>
      <c r="BX199" s="259"/>
      <c r="BY199" s="259"/>
      <c r="BZ199" s="260"/>
      <c r="CA199" s="259"/>
      <c r="CB199" s="259"/>
      <c r="CC199" s="259"/>
      <c r="CD199" s="259"/>
      <c r="CE199" s="259"/>
      <c r="CF199" s="259"/>
      <c r="CG199" s="259"/>
      <c r="CH199" s="259"/>
      <c r="CI199" s="259"/>
      <c r="CJ199" s="259"/>
      <c r="CK199" s="259"/>
      <c r="CL199" s="259"/>
      <c r="CM199" s="259"/>
      <c r="CN199" s="259"/>
      <c r="CO199" s="259"/>
      <c r="CP199" s="259"/>
      <c r="CQ199" s="259"/>
      <c r="CR199" s="259"/>
      <c r="CS199" s="259"/>
      <c r="CT199" s="259"/>
      <c r="CU199" s="259"/>
      <c r="CV199" s="259"/>
      <c r="CW199" s="259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259"/>
      <c r="BP200" s="259"/>
      <c r="BQ200" s="259"/>
      <c r="BR200" s="259"/>
      <c r="BS200" s="259"/>
      <c r="BT200" s="259"/>
      <c r="BU200" s="259"/>
      <c r="BV200" s="259"/>
      <c r="BW200" s="259"/>
      <c r="BX200" s="259"/>
      <c r="BY200" s="259"/>
      <c r="BZ200" s="260"/>
      <c r="CA200" s="259"/>
      <c r="CB200" s="259"/>
      <c r="CC200" s="259"/>
      <c r="CD200" s="259"/>
      <c r="CE200" s="259"/>
      <c r="CF200" s="259"/>
      <c r="CG200" s="259"/>
      <c r="CH200" s="259"/>
      <c r="CI200" s="259"/>
      <c r="CJ200" s="259"/>
      <c r="CK200" s="259"/>
      <c r="CL200" s="259"/>
      <c r="CM200" s="259"/>
      <c r="CN200" s="259"/>
      <c r="CO200" s="259"/>
      <c r="CP200" s="259"/>
      <c r="CQ200" s="259"/>
      <c r="CR200" s="259"/>
      <c r="CS200" s="259"/>
      <c r="CT200" s="259"/>
      <c r="CU200" s="259"/>
      <c r="CV200" s="259"/>
      <c r="CW200" s="259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259"/>
      <c r="BP201" s="259"/>
      <c r="BQ201" s="259"/>
      <c r="BR201" s="259"/>
      <c r="BS201" s="259"/>
      <c r="BT201" s="259"/>
      <c r="BU201" s="259"/>
      <c r="BV201" s="259"/>
      <c r="BW201" s="259"/>
      <c r="BX201" s="259"/>
      <c r="BY201" s="259"/>
      <c r="BZ201" s="260"/>
      <c r="CA201" s="259"/>
      <c r="CB201" s="259"/>
      <c r="CC201" s="259"/>
      <c r="CD201" s="259"/>
      <c r="CE201" s="259"/>
      <c r="CF201" s="259"/>
      <c r="CG201" s="259"/>
      <c r="CH201" s="259"/>
      <c r="CI201" s="259"/>
      <c r="CJ201" s="259"/>
      <c r="CK201" s="259"/>
      <c r="CL201" s="259"/>
      <c r="CM201" s="259"/>
      <c r="CN201" s="259"/>
      <c r="CO201" s="259"/>
      <c r="CP201" s="259"/>
      <c r="CQ201" s="259"/>
      <c r="CR201" s="259"/>
      <c r="CS201" s="259"/>
      <c r="CT201" s="259"/>
      <c r="CU201" s="259"/>
      <c r="CV201" s="259"/>
      <c r="CW201" s="259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259"/>
      <c r="BP202" s="259"/>
      <c r="BQ202" s="259"/>
      <c r="BR202" s="259"/>
      <c r="BS202" s="259"/>
      <c r="BT202" s="259"/>
      <c r="BU202" s="259"/>
      <c r="BV202" s="259"/>
      <c r="BW202" s="259"/>
      <c r="BX202" s="259"/>
      <c r="BY202" s="259"/>
      <c r="BZ202" s="260"/>
      <c r="CA202" s="259"/>
      <c r="CB202" s="259"/>
      <c r="CC202" s="259"/>
      <c r="CD202" s="259"/>
      <c r="CE202" s="259"/>
      <c r="CF202" s="259"/>
      <c r="CG202" s="259"/>
      <c r="CH202" s="259"/>
      <c r="CI202" s="259"/>
      <c r="CJ202" s="259"/>
      <c r="CK202" s="259"/>
      <c r="CL202" s="259"/>
      <c r="CM202" s="259"/>
      <c r="CN202" s="259"/>
      <c r="CO202" s="259"/>
      <c r="CP202" s="259"/>
      <c r="CQ202" s="259"/>
      <c r="CR202" s="259"/>
      <c r="CS202" s="259"/>
      <c r="CT202" s="259"/>
      <c r="CU202" s="259"/>
      <c r="CV202" s="259"/>
      <c r="CW202" s="259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259"/>
      <c r="BP203" s="259"/>
      <c r="BQ203" s="259"/>
      <c r="BR203" s="259"/>
      <c r="BS203" s="259"/>
      <c r="BT203" s="259"/>
      <c r="BU203" s="259"/>
      <c r="BV203" s="259"/>
      <c r="BW203" s="259"/>
      <c r="BX203" s="259"/>
      <c r="BY203" s="259"/>
      <c r="BZ203" s="260"/>
      <c r="CA203" s="259"/>
      <c r="CB203" s="259"/>
      <c r="CC203" s="259"/>
      <c r="CD203" s="259"/>
      <c r="CE203" s="259"/>
      <c r="CF203" s="259"/>
      <c r="CG203" s="259"/>
      <c r="CH203" s="259"/>
      <c r="CI203" s="259"/>
      <c r="CJ203" s="259"/>
      <c r="CK203" s="259"/>
      <c r="CL203" s="259"/>
      <c r="CM203" s="259"/>
      <c r="CN203" s="259"/>
      <c r="CO203" s="259"/>
      <c r="CP203" s="259"/>
      <c r="CQ203" s="259"/>
      <c r="CR203" s="259"/>
      <c r="CS203" s="259"/>
      <c r="CT203" s="259"/>
      <c r="CU203" s="259"/>
      <c r="CV203" s="259"/>
      <c r="CW203" s="259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259"/>
      <c r="BP204" s="259"/>
      <c r="BQ204" s="259"/>
      <c r="BR204" s="259"/>
      <c r="BS204" s="259"/>
      <c r="BT204" s="259"/>
      <c r="BU204" s="259"/>
      <c r="BV204" s="259"/>
      <c r="BW204" s="259"/>
      <c r="BX204" s="259"/>
      <c r="BY204" s="259"/>
      <c r="BZ204" s="260"/>
      <c r="CA204" s="259"/>
      <c r="CB204" s="259"/>
      <c r="CC204" s="259"/>
      <c r="CD204" s="259"/>
      <c r="CE204" s="259"/>
      <c r="CF204" s="259"/>
      <c r="CG204" s="259"/>
      <c r="CH204" s="259"/>
      <c r="CI204" s="259"/>
      <c r="CJ204" s="259"/>
      <c r="CK204" s="259"/>
      <c r="CL204" s="259"/>
      <c r="CM204" s="259"/>
      <c r="CN204" s="259"/>
      <c r="CO204" s="259"/>
      <c r="CP204" s="259"/>
      <c r="CQ204" s="259"/>
      <c r="CR204" s="259"/>
      <c r="CS204" s="259"/>
      <c r="CT204" s="259"/>
      <c r="CU204" s="259"/>
      <c r="CV204" s="259"/>
      <c r="CW204" s="259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259"/>
      <c r="BP205" s="259"/>
      <c r="BQ205" s="259"/>
      <c r="BR205" s="259"/>
      <c r="BS205" s="259"/>
      <c r="BT205" s="259"/>
      <c r="BU205" s="259"/>
      <c r="BV205" s="259"/>
      <c r="BW205" s="259"/>
      <c r="BX205" s="259"/>
      <c r="BY205" s="259"/>
      <c r="BZ205" s="260"/>
      <c r="CA205" s="259"/>
      <c r="CB205" s="259"/>
      <c r="CC205" s="259"/>
      <c r="CD205" s="259"/>
      <c r="CE205" s="259"/>
      <c r="CF205" s="259"/>
      <c r="CG205" s="259"/>
      <c r="CH205" s="259"/>
      <c r="CI205" s="259"/>
      <c r="CJ205" s="259"/>
      <c r="CK205" s="259"/>
      <c r="CL205" s="259"/>
      <c r="CM205" s="259"/>
      <c r="CN205" s="259"/>
      <c r="CO205" s="259"/>
      <c r="CP205" s="259"/>
      <c r="CQ205" s="259"/>
      <c r="CR205" s="259"/>
      <c r="CS205" s="259"/>
      <c r="CT205" s="259"/>
      <c r="CU205" s="259"/>
      <c r="CV205" s="259"/>
      <c r="CW205" s="259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259"/>
      <c r="BP206" s="259"/>
      <c r="BQ206" s="259"/>
      <c r="BR206" s="259"/>
      <c r="BS206" s="259"/>
      <c r="BT206" s="259"/>
      <c r="BU206" s="259"/>
      <c r="BV206" s="259"/>
      <c r="BW206" s="259"/>
      <c r="BX206" s="259"/>
      <c r="BY206" s="259"/>
      <c r="BZ206" s="260"/>
      <c r="CA206" s="259"/>
      <c r="CB206" s="259"/>
      <c r="CC206" s="259"/>
      <c r="CD206" s="259"/>
      <c r="CE206" s="259"/>
      <c r="CF206" s="259"/>
      <c r="CG206" s="259"/>
      <c r="CH206" s="259"/>
      <c r="CI206" s="259"/>
      <c r="CJ206" s="259"/>
      <c r="CK206" s="259"/>
      <c r="CL206" s="259"/>
      <c r="CM206" s="259"/>
      <c r="CN206" s="259"/>
      <c r="CO206" s="259"/>
      <c r="CP206" s="259"/>
      <c r="CQ206" s="259"/>
      <c r="CR206" s="259"/>
      <c r="CS206" s="259"/>
      <c r="CT206" s="259"/>
      <c r="CU206" s="259"/>
      <c r="CV206" s="259"/>
      <c r="CW206" s="259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259"/>
      <c r="BP207" s="259"/>
      <c r="BQ207" s="259"/>
      <c r="BR207" s="259"/>
      <c r="BS207" s="259"/>
      <c r="BT207" s="259"/>
      <c r="BU207" s="259"/>
      <c r="BV207" s="259"/>
      <c r="BW207" s="259"/>
      <c r="BX207" s="259"/>
      <c r="BY207" s="259"/>
      <c r="BZ207" s="260"/>
      <c r="CA207" s="259"/>
      <c r="CB207" s="259"/>
      <c r="CC207" s="259"/>
      <c r="CD207" s="259"/>
      <c r="CE207" s="259"/>
      <c r="CF207" s="259"/>
      <c r="CG207" s="259"/>
      <c r="CH207" s="259"/>
      <c r="CI207" s="259"/>
      <c r="CJ207" s="259"/>
      <c r="CK207" s="259"/>
      <c r="CL207" s="259"/>
      <c r="CM207" s="259"/>
      <c r="CN207" s="259"/>
      <c r="CO207" s="259"/>
      <c r="CP207" s="259"/>
      <c r="CQ207" s="259"/>
      <c r="CR207" s="259"/>
      <c r="CS207" s="259"/>
      <c r="CT207" s="259"/>
      <c r="CU207" s="259"/>
      <c r="CV207" s="259"/>
      <c r="CW207" s="259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259"/>
      <c r="BP208" s="259"/>
      <c r="BQ208" s="259"/>
      <c r="BR208" s="259"/>
      <c r="BS208" s="259"/>
      <c r="BT208" s="259"/>
      <c r="BU208" s="259"/>
      <c r="BV208" s="259"/>
      <c r="BW208" s="259"/>
      <c r="BX208" s="259"/>
      <c r="BY208" s="259"/>
      <c r="BZ208" s="260"/>
      <c r="CA208" s="259"/>
      <c r="CB208" s="259"/>
      <c r="CC208" s="259"/>
      <c r="CD208" s="259"/>
      <c r="CE208" s="259"/>
      <c r="CF208" s="259"/>
      <c r="CG208" s="259"/>
      <c r="CH208" s="259"/>
      <c r="CI208" s="259"/>
      <c r="CJ208" s="259"/>
      <c r="CK208" s="259"/>
      <c r="CL208" s="259"/>
      <c r="CM208" s="259"/>
      <c r="CN208" s="259"/>
      <c r="CO208" s="259"/>
      <c r="CP208" s="259"/>
      <c r="CQ208" s="259"/>
      <c r="CR208" s="259"/>
      <c r="CS208" s="259"/>
      <c r="CT208" s="259"/>
      <c r="CU208" s="259"/>
      <c r="CV208" s="259"/>
      <c r="CW208" s="259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259"/>
      <c r="BP209" s="259"/>
      <c r="BQ209" s="259"/>
      <c r="BR209" s="259"/>
      <c r="BS209" s="259"/>
      <c r="BT209" s="259"/>
      <c r="BU209" s="259"/>
      <c r="BV209" s="259"/>
      <c r="BW209" s="259"/>
      <c r="BX209" s="259"/>
      <c r="BY209" s="259"/>
      <c r="BZ209" s="260"/>
      <c r="CA209" s="259"/>
      <c r="CB209" s="259"/>
      <c r="CC209" s="259"/>
      <c r="CD209" s="259"/>
      <c r="CE209" s="259"/>
      <c r="CF209" s="259"/>
      <c r="CG209" s="259"/>
      <c r="CH209" s="259"/>
      <c r="CI209" s="259"/>
      <c r="CJ209" s="259"/>
      <c r="CK209" s="259"/>
      <c r="CL209" s="259"/>
      <c r="CM209" s="259"/>
      <c r="CN209" s="259"/>
      <c r="CO209" s="259"/>
      <c r="CP209" s="259"/>
      <c r="CQ209" s="259"/>
      <c r="CR209" s="259"/>
      <c r="CS209" s="259"/>
      <c r="CT209" s="259"/>
      <c r="CU209" s="259"/>
      <c r="CV209" s="259"/>
      <c r="CW209" s="259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259"/>
      <c r="BP210" s="259"/>
      <c r="BQ210" s="259"/>
      <c r="BR210" s="259"/>
      <c r="BS210" s="259"/>
      <c r="BT210" s="259"/>
      <c r="BU210" s="259"/>
      <c r="BV210" s="259"/>
      <c r="BW210" s="259"/>
      <c r="BX210" s="259"/>
      <c r="BY210" s="259"/>
      <c r="BZ210" s="260"/>
      <c r="CA210" s="259"/>
      <c r="CB210" s="259"/>
      <c r="CC210" s="259"/>
      <c r="CD210" s="259"/>
      <c r="CE210" s="259"/>
      <c r="CF210" s="259"/>
      <c r="CG210" s="259"/>
      <c r="CH210" s="259"/>
      <c r="CI210" s="259"/>
      <c r="CJ210" s="259"/>
      <c r="CK210" s="259"/>
      <c r="CL210" s="259"/>
      <c r="CM210" s="259"/>
      <c r="CN210" s="259"/>
      <c r="CO210" s="259"/>
      <c r="CP210" s="259"/>
      <c r="CQ210" s="259"/>
      <c r="CR210" s="259"/>
      <c r="CS210" s="259"/>
      <c r="CT210" s="259"/>
      <c r="CU210" s="259"/>
      <c r="CV210" s="259"/>
      <c r="CW210" s="259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259"/>
      <c r="BP211" s="259"/>
      <c r="BQ211" s="259"/>
      <c r="BR211" s="259"/>
      <c r="BS211" s="259"/>
      <c r="BT211" s="259"/>
      <c r="BU211" s="259"/>
      <c r="BV211" s="259"/>
      <c r="BW211" s="259"/>
      <c r="BX211" s="259"/>
      <c r="BY211" s="259"/>
      <c r="BZ211" s="260"/>
      <c r="CA211" s="259"/>
      <c r="CB211" s="259"/>
      <c r="CC211" s="259"/>
      <c r="CD211" s="259"/>
      <c r="CE211" s="259"/>
      <c r="CF211" s="259"/>
      <c r="CG211" s="259"/>
      <c r="CH211" s="259"/>
      <c r="CI211" s="259"/>
      <c r="CJ211" s="259"/>
      <c r="CK211" s="259"/>
      <c r="CL211" s="259"/>
      <c r="CM211" s="259"/>
      <c r="CN211" s="259"/>
      <c r="CO211" s="259"/>
      <c r="CP211" s="259"/>
      <c r="CQ211" s="259"/>
      <c r="CR211" s="259"/>
      <c r="CS211" s="259"/>
      <c r="CT211" s="259"/>
      <c r="CU211" s="259"/>
      <c r="CV211" s="259"/>
      <c r="CW211" s="259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259"/>
      <c r="BP212" s="259"/>
      <c r="BQ212" s="259"/>
      <c r="BR212" s="259"/>
      <c r="BS212" s="259"/>
      <c r="BT212" s="259"/>
      <c r="BU212" s="259"/>
      <c r="BV212" s="259"/>
      <c r="BW212" s="259"/>
      <c r="BX212" s="259"/>
      <c r="BY212" s="259"/>
      <c r="BZ212" s="260"/>
      <c r="CA212" s="259"/>
      <c r="CB212" s="259"/>
      <c r="CC212" s="259"/>
      <c r="CD212" s="259"/>
      <c r="CE212" s="259"/>
      <c r="CF212" s="259"/>
      <c r="CG212" s="259"/>
      <c r="CH212" s="259"/>
      <c r="CI212" s="259"/>
      <c r="CJ212" s="259"/>
      <c r="CK212" s="259"/>
      <c r="CL212" s="259"/>
      <c r="CM212" s="259"/>
      <c r="CN212" s="259"/>
      <c r="CO212" s="259"/>
      <c r="CP212" s="259"/>
      <c r="CQ212" s="259"/>
      <c r="CR212" s="259"/>
      <c r="CS212" s="259"/>
      <c r="CT212" s="259"/>
      <c r="CU212" s="259"/>
      <c r="CV212" s="259"/>
      <c r="CW212" s="259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259"/>
      <c r="BP213" s="259"/>
      <c r="BQ213" s="259"/>
      <c r="BR213" s="259"/>
      <c r="BS213" s="259"/>
      <c r="BT213" s="259"/>
      <c r="BU213" s="259"/>
      <c r="BV213" s="259"/>
      <c r="BW213" s="259"/>
      <c r="BX213" s="259"/>
      <c r="BY213" s="259"/>
      <c r="BZ213" s="260"/>
      <c r="CA213" s="259"/>
      <c r="CB213" s="259"/>
      <c r="CC213" s="259"/>
      <c r="CD213" s="259"/>
      <c r="CE213" s="259"/>
      <c r="CF213" s="259"/>
      <c r="CG213" s="259"/>
      <c r="CH213" s="259"/>
      <c r="CI213" s="259"/>
      <c r="CJ213" s="259"/>
      <c r="CK213" s="259"/>
      <c r="CL213" s="259"/>
      <c r="CM213" s="259"/>
      <c r="CN213" s="259"/>
      <c r="CO213" s="259"/>
      <c r="CP213" s="259"/>
      <c r="CQ213" s="259"/>
      <c r="CR213" s="259"/>
      <c r="CS213" s="259"/>
      <c r="CT213" s="259"/>
      <c r="CU213" s="259"/>
      <c r="CV213" s="259"/>
      <c r="CW213" s="259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259"/>
      <c r="BP214" s="259"/>
      <c r="BQ214" s="259"/>
      <c r="BR214" s="259"/>
      <c r="BS214" s="259"/>
      <c r="BT214" s="259"/>
      <c r="BU214" s="259"/>
      <c r="BV214" s="259"/>
      <c r="BW214" s="259"/>
      <c r="BX214" s="259"/>
      <c r="BY214" s="259"/>
      <c r="BZ214" s="260"/>
      <c r="CA214" s="259"/>
      <c r="CB214" s="259"/>
      <c r="CC214" s="259"/>
      <c r="CD214" s="259"/>
      <c r="CE214" s="259"/>
      <c r="CF214" s="259"/>
      <c r="CG214" s="259"/>
      <c r="CH214" s="259"/>
      <c r="CI214" s="259"/>
      <c r="CJ214" s="259"/>
      <c r="CK214" s="259"/>
      <c r="CL214" s="259"/>
      <c r="CM214" s="259"/>
      <c r="CN214" s="259"/>
      <c r="CO214" s="259"/>
      <c r="CP214" s="259"/>
      <c r="CQ214" s="259"/>
      <c r="CR214" s="259"/>
      <c r="CS214" s="259"/>
      <c r="CT214" s="259"/>
      <c r="CU214" s="259"/>
      <c r="CV214" s="259"/>
      <c r="CW214" s="259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259"/>
      <c r="BP215" s="259"/>
      <c r="BQ215" s="259"/>
      <c r="BR215" s="259"/>
      <c r="BS215" s="259"/>
      <c r="BT215" s="259"/>
      <c r="BU215" s="259"/>
      <c r="BV215" s="259"/>
      <c r="BW215" s="259"/>
      <c r="BX215" s="259"/>
      <c r="BY215" s="259"/>
      <c r="BZ215" s="260"/>
      <c r="CA215" s="259"/>
      <c r="CB215" s="259"/>
      <c r="CC215" s="259"/>
      <c r="CD215" s="259"/>
      <c r="CE215" s="259"/>
      <c r="CF215" s="259"/>
      <c r="CG215" s="259"/>
      <c r="CH215" s="259"/>
      <c r="CI215" s="259"/>
      <c r="CJ215" s="259"/>
      <c r="CK215" s="259"/>
      <c r="CL215" s="259"/>
      <c r="CM215" s="259"/>
      <c r="CN215" s="259"/>
      <c r="CO215" s="259"/>
      <c r="CP215" s="259"/>
      <c r="CQ215" s="259"/>
      <c r="CR215" s="259"/>
      <c r="CS215" s="259"/>
      <c r="CT215" s="259"/>
      <c r="CU215" s="259"/>
      <c r="CV215" s="259"/>
      <c r="CW215" s="259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259"/>
      <c r="BP216" s="259"/>
      <c r="BQ216" s="259"/>
      <c r="BR216" s="259"/>
      <c r="BS216" s="259"/>
      <c r="BT216" s="259"/>
      <c r="BU216" s="259"/>
      <c r="BV216" s="259"/>
      <c r="BW216" s="259"/>
      <c r="BX216" s="259"/>
      <c r="BY216" s="259"/>
      <c r="BZ216" s="260"/>
      <c r="CA216" s="259"/>
      <c r="CB216" s="259"/>
      <c r="CC216" s="259"/>
      <c r="CD216" s="259"/>
      <c r="CE216" s="259"/>
      <c r="CF216" s="259"/>
      <c r="CG216" s="259"/>
      <c r="CH216" s="259"/>
      <c r="CI216" s="259"/>
      <c r="CJ216" s="259"/>
      <c r="CK216" s="259"/>
      <c r="CL216" s="259"/>
      <c r="CM216" s="259"/>
      <c r="CN216" s="259"/>
      <c r="CO216" s="259"/>
      <c r="CP216" s="259"/>
      <c r="CQ216" s="259"/>
      <c r="CR216" s="259"/>
      <c r="CS216" s="259"/>
      <c r="CT216" s="259"/>
      <c r="CU216" s="259"/>
      <c r="CV216" s="259"/>
      <c r="CW216" s="259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259"/>
      <c r="BP217" s="259"/>
      <c r="BQ217" s="259"/>
      <c r="BR217" s="259"/>
      <c r="BS217" s="259"/>
      <c r="BT217" s="259"/>
      <c r="BU217" s="259"/>
      <c r="BV217" s="259"/>
      <c r="BW217" s="259"/>
      <c r="BX217" s="259"/>
      <c r="BY217" s="259"/>
      <c r="BZ217" s="260"/>
      <c r="CA217" s="259"/>
      <c r="CB217" s="259"/>
      <c r="CC217" s="259"/>
      <c r="CD217" s="259"/>
      <c r="CE217" s="259"/>
      <c r="CF217" s="259"/>
      <c r="CG217" s="259"/>
      <c r="CH217" s="259"/>
      <c r="CI217" s="259"/>
      <c r="CJ217" s="259"/>
      <c r="CK217" s="259"/>
      <c r="CL217" s="259"/>
      <c r="CM217" s="259"/>
      <c r="CN217" s="259"/>
      <c r="CO217" s="259"/>
      <c r="CP217" s="259"/>
      <c r="CQ217" s="259"/>
      <c r="CR217" s="259"/>
      <c r="CS217" s="259"/>
      <c r="CT217" s="259"/>
      <c r="CU217" s="259"/>
      <c r="CV217" s="259"/>
      <c r="CW217" s="259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259"/>
      <c r="BP218" s="259"/>
      <c r="BQ218" s="259"/>
      <c r="BR218" s="259"/>
      <c r="BS218" s="259"/>
      <c r="BT218" s="259"/>
      <c r="BU218" s="259"/>
      <c r="BV218" s="259"/>
      <c r="BW218" s="259"/>
      <c r="BX218" s="259"/>
      <c r="BY218" s="259"/>
      <c r="BZ218" s="260"/>
      <c r="CA218" s="259"/>
      <c r="CB218" s="259"/>
      <c r="CC218" s="259"/>
      <c r="CD218" s="259"/>
      <c r="CE218" s="259"/>
      <c r="CF218" s="259"/>
      <c r="CG218" s="259"/>
      <c r="CH218" s="259"/>
      <c r="CI218" s="259"/>
      <c r="CJ218" s="259"/>
      <c r="CK218" s="259"/>
      <c r="CL218" s="259"/>
      <c r="CM218" s="259"/>
      <c r="CN218" s="259"/>
      <c r="CO218" s="259"/>
      <c r="CP218" s="259"/>
      <c r="CQ218" s="259"/>
      <c r="CR218" s="259"/>
      <c r="CS218" s="259"/>
      <c r="CT218" s="259"/>
      <c r="CU218" s="259"/>
      <c r="CV218" s="259"/>
      <c r="CW218" s="259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259"/>
      <c r="BP219" s="259"/>
      <c r="BQ219" s="259"/>
      <c r="BR219" s="259"/>
      <c r="BS219" s="259"/>
      <c r="BT219" s="259"/>
      <c r="BU219" s="259"/>
      <c r="BV219" s="259"/>
      <c r="BW219" s="259"/>
      <c r="BX219" s="259"/>
      <c r="BY219" s="259"/>
      <c r="BZ219" s="260"/>
      <c r="CA219" s="259"/>
      <c r="CB219" s="259"/>
      <c r="CC219" s="259"/>
      <c r="CD219" s="259"/>
      <c r="CE219" s="259"/>
      <c r="CF219" s="259"/>
      <c r="CG219" s="259"/>
      <c r="CH219" s="259"/>
      <c r="CI219" s="259"/>
      <c r="CJ219" s="259"/>
      <c r="CK219" s="259"/>
      <c r="CL219" s="259"/>
      <c r="CM219" s="259"/>
      <c r="CN219" s="259"/>
      <c r="CO219" s="259"/>
      <c r="CP219" s="259"/>
      <c r="CQ219" s="259"/>
      <c r="CR219" s="259"/>
      <c r="CS219" s="259"/>
      <c r="CT219" s="259"/>
      <c r="CU219" s="259"/>
      <c r="CV219" s="259"/>
      <c r="CW219" s="259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259"/>
      <c r="BP220" s="259"/>
      <c r="BQ220" s="259"/>
      <c r="BR220" s="259"/>
      <c r="BS220" s="259"/>
      <c r="BT220" s="259"/>
      <c r="BU220" s="259"/>
      <c r="BV220" s="259"/>
      <c r="BW220" s="259"/>
      <c r="BX220" s="259"/>
      <c r="BY220" s="259"/>
      <c r="BZ220" s="260"/>
      <c r="CA220" s="259"/>
      <c r="CB220" s="259"/>
      <c r="CC220" s="259"/>
      <c r="CD220" s="259"/>
      <c r="CE220" s="259"/>
      <c r="CF220" s="259"/>
      <c r="CG220" s="259"/>
      <c r="CH220" s="259"/>
      <c r="CI220" s="259"/>
      <c r="CJ220" s="259"/>
      <c r="CK220" s="259"/>
      <c r="CL220" s="259"/>
      <c r="CM220" s="259"/>
      <c r="CN220" s="259"/>
      <c r="CO220" s="259"/>
      <c r="CP220" s="259"/>
      <c r="CQ220" s="259"/>
      <c r="CR220" s="259"/>
      <c r="CS220" s="259"/>
      <c r="CT220" s="259"/>
      <c r="CU220" s="259"/>
      <c r="CV220" s="259"/>
      <c r="CW220" s="259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259"/>
      <c r="BP221" s="259"/>
      <c r="BQ221" s="259"/>
      <c r="BR221" s="259"/>
      <c r="BS221" s="259"/>
      <c r="BT221" s="259"/>
      <c r="BU221" s="259"/>
      <c r="BV221" s="259"/>
      <c r="BW221" s="259"/>
      <c r="BX221" s="259"/>
      <c r="BY221" s="259"/>
      <c r="BZ221" s="260"/>
      <c r="CA221" s="259"/>
      <c r="CB221" s="259"/>
      <c r="CC221" s="259"/>
      <c r="CD221" s="259"/>
      <c r="CE221" s="259"/>
      <c r="CF221" s="259"/>
      <c r="CG221" s="259"/>
      <c r="CH221" s="259"/>
      <c r="CI221" s="259"/>
      <c r="CJ221" s="259"/>
      <c r="CK221" s="259"/>
      <c r="CL221" s="259"/>
      <c r="CM221" s="259"/>
      <c r="CN221" s="259"/>
      <c r="CO221" s="259"/>
      <c r="CP221" s="259"/>
      <c r="CQ221" s="259"/>
      <c r="CR221" s="259"/>
      <c r="CS221" s="259"/>
      <c r="CT221" s="259"/>
      <c r="CU221" s="259"/>
      <c r="CV221" s="259"/>
      <c r="CW221" s="259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259"/>
      <c r="BP222" s="259"/>
      <c r="BQ222" s="259"/>
      <c r="BR222" s="259"/>
      <c r="BS222" s="259"/>
      <c r="BT222" s="259"/>
      <c r="BU222" s="259"/>
      <c r="BV222" s="259"/>
      <c r="BW222" s="259"/>
      <c r="BX222" s="259"/>
      <c r="BY222" s="259"/>
      <c r="BZ222" s="260"/>
      <c r="CA222" s="259"/>
      <c r="CB222" s="259"/>
      <c r="CC222" s="259"/>
      <c r="CD222" s="259"/>
      <c r="CE222" s="259"/>
      <c r="CF222" s="259"/>
      <c r="CG222" s="259"/>
      <c r="CH222" s="259"/>
      <c r="CI222" s="259"/>
      <c r="CJ222" s="259"/>
      <c r="CK222" s="259"/>
      <c r="CL222" s="259"/>
      <c r="CM222" s="259"/>
      <c r="CN222" s="259"/>
      <c r="CO222" s="259"/>
      <c r="CP222" s="259"/>
      <c r="CQ222" s="259"/>
      <c r="CR222" s="259"/>
      <c r="CS222" s="259"/>
      <c r="CT222" s="259"/>
      <c r="CU222" s="259"/>
      <c r="CV222" s="259"/>
      <c r="CW222" s="259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259"/>
      <c r="BP223" s="259"/>
      <c r="BQ223" s="259"/>
      <c r="BR223" s="259"/>
      <c r="BS223" s="259"/>
      <c r="BT223" s="259"/>
      <c r="BU223" s="259"/>
      <c r="BV223" s="259"/>
      <c r="BW223" s="259"/>
      <c r="BX223" s="259"/>
      <c r="BY223" s="259"/>
      <c r="BZ223" s="260"/>
      <c r="CA223" s="259"/>
      <c r="CB223" s="259"/>
      <c r="CC223" s="259"/>
      <c r="CD223" s="259"/>
      <c r="CE223" s="259"/>
      <c r="CF223" s="259"/>
      <c r="CG223" s="259"/>
      <c r="CH223" s="259"/>
      <c r="CI223" s="259"/>
      <c r="CJ223" s="259"/>
      <c r="CK223" s="259"/>
      <c r="CL223" s="259"/>
      <c r="CM223" s="259"/>
      <c r="CN223" s="259"/>
      <c r="CO223" s="259"/>
      <c r="CP223" s="259"/>
      <c r="CQ223" s="259"/>
      <c r="CR223" s="259"/>
      <c r="CS223" s="259"/>
      <c r="CT223" s="259"/>
      <c r="CU223" s="259"/>
      <c r="CV223" s="259"/>
      <c r="CW223" s="259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259"/>
      <c r="BP224" s="259"/>
      <c r="BQ224" s="259"/>
      <c r="BR224" s="259"/>
      <c r="BS224" s="259"/>
      <c r="BT224" s="259"/>
      <c r="BU224" s="259"/>
      <c r="BV224" s="259"/>
      <c r="BW224" s="259"/>
      <c r="BX224" s="259"/>
      <c r="BY224" s="259"/>
      <c r="BZ224" s="260"/>
      <c r="CA224" s="259"/>
      <c r="CB224" s="259"/>
      <c r="CC224" s="259"/>
      <c r="CD224" s="259"/>
      <c r="CE224" s="259"/>
      <c r="CF224" s="259"/>
      <c r="CG224" s="259"/>
      <c r="CH224" s="259"/>
      <c r="CI224" s="259"/>
      <c r="CJ224" s="259"/>
      <c r="CK224" s="259"/>
      <c r="CL224" s="259"/>
      <c r="CM224" s="259"/>
      <c r="CN224" s="259"/>
      <c r="CO224" s="259"/>
      <c r="CP224" s="259"/>
      <c r="CQ224" s="259"/>
      <c r="CR224" s="259"/>
      <c r="CS224" s="259"/>
      <c r="CT224" s="259"/>
      <c r="CU224" s="259"/>
      <c r="CV224" s="259"/>
      <c r="CW224" s="259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259"/>
      <c r="BP225" s="259"/>
      <c r="BQ225" s="259"/>
      <c r="BR225" s="259"/>
      <c r="BS225" s="259"/>
      <c r="BT225" s="259"/>
      <c r="BU225" s="259"/>
      <c r="BV225" s="259"/>
      <c r="BW225" s="259"/>
      <c r="BX225" s="259"/>
      <c r="BY225" s="259"/>
      <c r="BZ225" s="260"/>
      <c r="CA225" s="259"/>
      <c r="CB225" s="259"/>
      <c r="CC225" s="259"/>
      <c r="CD225" s="259"/>
      <c r="CE225" s="259"/>
      <c r="CF225" s="259"/>
      <c r="CG225" s="259"/>
      <c r="CH225" s="259"/>
      <c r="CI225" s="259"/>
      <c r="CJ225" s="259"/>
      <c r="CK225" s="259"/>
      <c r="CL225" s="259"/>
      <c r="CM225" s="259"/>
      <c r="CN225" s="259"/>
      <c r="CO225" s="259"/>
      <c r="CP225" s="259"/>
      <c r="CQ225" s="259"/>
      <c r="CR225" s="259"/>
      <c r="CS225" s="259"/>
      <c r="CT225" s="259"/>
      <c r="CU225" s="259"/>
      <c r="CV225" s="259"/>
      <c r="CW225" s="259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259"/>
      <c r="BP226" s="259"/>
      <c r="BQ226" s="259"/>
      <c r="BR226" s="259"/>
      <c r="BS226" s="259"/>
      <c r="BT226" s="259"/>
      <c r="BU226" s="259"/>
      <c r="BV226" s="259"/>
      <c r="BW226" s="259"/>
      <c r="BX226" s="259"/>
      <c r="BY226" s="259"/>
      <c r="BZ226" s="260"/>
      <c r="CA226" s="259"/>
      <c r="CB226" s="259"/>
      <c r="CC226" s="259"/>
      <c r="CD226" s="259"/>
      <c r="CE226" s="259"/>
      <c r="CF226" s="259"/>
      <c r="CG226" s="259"/>
      <c r="CH226" s="259"/>
      <c r="CI226" s="259"/>
      <c r="CJ226" s="259"/>
      <c r="CK226" s="259"/>
      <c r="CL226" s="259"/>
      <c r="CM226" s="259"/>
      <c r="CN226" s="259"/>
      <c r="CO226" s="259"/>
      <c r="CP226" s="259"/>
      <c r="CQ226" s="259"/>
      <c r="CR226" s="259"/>
      <c r="CS226" s="259"/>
      <c r="CT226" s="259"/>
      <c r="CU226" s="259"/>
      <c r="CV226" s="259"/>
      <c r="CW226" s="259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259"/>
      <c r="BP227" s="259"/>
      <c r="BQ227" s="259"/>
      <c r="BR227" s="259"/>
      <c r="BS227" s="259"/>
      <c r="BT227" s="259"/>
      <c r="BU227" s="259"/>
      <c r="BV227" s="259"/>
      <c r="BW227" s="259"/>
      <c r="BX227" s="259"/>
      <c r="BY227" s="259"/>
      <c r="BZ227" s="260"/>
      <c r="CA227" s="259"/>
      <c r="CB227" s="259"/>
      <c r="CC227" s="259"/>
      <c r="CD227" s="259"/>
      <c r="CE227" s="259"/>
      <c r="CF227" s="259"/>
      <c r="CG227" s="259"/>
      <c r="CH227" s="259"/>
      <c r="CI227" s="259"/>
      <c r="CJ227" s="259"/>
      <c r="CK227" s="259"/>
      <c r="CL227" s="259"/>
      <c r="CM227" s="259"/>
      <c r="CN227" s="259"/>
      <c r="CO227" s="259"/>
      <c r="CP227" s="259"/>
      <c r="CQ227" s="259"/>
      <c r="CR227" s="259"/>
      <c r="CS227" s="259"/>
      <c r="CT227" s="259"/>
      <c r="CU227" s="259"/>
      <c r="CV227" s="259"/>
      <c r="CW227" s="259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259"/>
      <c r="BP228" s="259"/>
      <c r="BQ228" s="259"/>
      <c r="BR228" s="259"/>
      <c r="BS228" s="259"/>
      <c r="BT228" s="259"/>
      <c r="BU228" s="259"/>
      <c r="BV228" s="259"/>
      <c r="BW228" s="259"/>
      <c r="BX228" s="259"/>
      <c r="BY228" s="259"/>
      <c r="BZ228" s="260"/>
      <c r="CA228" s="259"/>
      <c r="CB228" s="259"/>
      <c r="CC228" s="259"/>
      <c r="CD228" s="259"/>
      <c r="CE228" s="259"/>
      <c r="CF228" s="259"/>
      <c r="CG228" s="259"/>
      <c r="CH228" s="259"/>
      <c r="CI228" s="259"/>
      <c r="CJ228" s="259"/>
      <c r="CK228" s="259"/>
      <c r="CL228" s="259"/>
      <c r="CM228" s="259"/>
      <c r="CN228" s="259"/>
      <c r="CO228" s="259"/>
      <c r="CP228" s="259"/>
      <c r="CQ228" s="259"/>
      <c r="CR228" s="259"/>
      <c r="CS228" s="259"/>
      <c r="CT228" s="259"/>
      <c r="CU228" s="259"/>
      <c r="CV228" s="259"/>
      <c r="CW228" s="259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259"/>
      <c r="BP229" s="259"/>
      <c r="BQ229" s="259"/>
      <c r="BR229" s="259"/>
      <c r="BS229" s="259"/>
      <c r="BT229" s="259"/>
      <c r="BU229" s="259"/>
      <c r="BV229" s="259"/>
      <c r="BW229" s="259"/>
      <c r="BX229" s="259"/>
      <c r="BY229" s="259"/>
      <c r="BZ229" s="260"/>
      <c r="CA229" s="259"/>
      <c r="CB229" s="259"/>
      <c r="CC229" s="259"/>
      <c r="CD229" s="259"/>
      <c r="CE229" s="259"/>
      <c r="CF229" s="259"/>
      <c r="CG229" s="259"/>
      <c r="CH229" s="259"/>
      <c r="CI229" s="259"/>
      <c r="CJ229" s="259"/>
      <c r="CK229" s="259"/>
      <c r="CL229" s="259"/>
      <c r="CM229" s="259"/>
      <c r="CN229" s="259"/>
      <c r="CO229" s="259"/>
      <c r="CP229" s="259"/>
      <c r="CQ229" s="259"/>
      <c r="CR229" s="259"/>
      <c r="CS229" s="259"/>
      <c r="CT229" s="259"/>
      <c r="CU229" s="259"/>
      <c r="CV229" s="259"/>
      <c r="CW229" s="259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259"/>
      <c r="BP230" s="259"/>
      <c r="BQ230" s="259"/>
      <c r="BR230" s="259"/>
      <c r="BS230" s="259"/>
      <c r="BT230" s="259"/>
      <c r="BU230" s="259"/>
      <c r="BV230" s="259"/>
      <c r="BW230" s="259"/>
      <c r="BX230" s="259"/>
      <c r="BY230" s="259"/>
      <c r="BZ230" s="260"/>
      <c r="CA230" s="259"/>
      <c r="CB230" s="259"/>
      <c r="CC230" s="259"/>
      <c r="CD230" s="259"/>
      <c r="CE230" s="259"/>
      <c r="CF230" s="259"/>
      <c r="CG230" s="259"/>
      <c r="CH230" s="259"/>
      <c r="CI230" s="259"/>
      <c r="CJ230" s="259"/>
      <c r="CK230" s="259"/>
      <c r="CL230" s="259"/>
      <c r="CM230" s="259"/>
      <c r="CN230" s="259"/>
      <c r="CO230" s="259"/>
      <c r="CP230" s="259"/>
      <c r="CQ230" s="259"/>
      <c r="CR230" s="259"/>
      <c r="CS230" s="259"/>
      <c r="CT230" s="259"/>
      <c r="CU230" s="259"/>
      <c r="CV230" s="259"/>
      <c r="CW230" s="259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259"/>
      <c r="BP231" s="259"/>
      <c r="BQ231" s="259"/>
      <c r="BR231" s="259"/>
      <c r="BS231" s="259"/>
      <c r="BT231" s="259"/>
      <c r="BU231" s="259"/>
      <c r="BV231" s="259"/>
      <c r="BW231" s="259"/>
      <c r="BX231" s="259"/>
      <c r="BY231" s="259"/>
      <c r="BZ231" s="260"/>
      <c r="CA231" s="259"/>
      <c r="CB231" s="259"/>
      <c r="CC231" s="259"/>
      <c r="CD231" s="259"/>
      <c r="CE231" s="259"/>
      <c r="CF231" s="259"/>
      <c r="CG231" s="259"/>
      <c r="CH231" s="259"/>
      <c r="CI231" s="259"/>
      <c r="CJ231" s="259"/>
      <c r="CK231" s="259"/>
      <c r="CL231" s="259"/>
      <c r="CM231" s="259"/>
      <c r="CN231" s="259"/>
      <c r="CO231" s="259"/>
      <c r="CP231" s="259"/>
      <c r="CQ231" s="259"/>
      <c r="CR231" s="259"/>
      <c r="CS231" s="259"/>
      <c r="CT231" s="259"/>
      <c r="CU231" s="259"/>
      <c r="CV231" s="259"/>
      <c r="CW231" s="259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259"/>
      <c r="BP232" s="259"/>
      <c r="BQ232" s="259"/>
      <c r="BR232" s="259"/>
      <c r="BS232" s="259"/>
      <c r="BT232" s="259"/>
      <c r="BU232" s="259"/>
      <c r="BV232" s="259"/>
      <c r="BW232" s="259"/>
      <c r="BX232" s="259"/>
      <c r="BY232" s="259"/>
      <c r="BZ232" s="260"/>
      <c r="CA232" s="259"/>
      <c r="CB232" s="259"/>
      <c r="CC232" s="259"/>
      <c r="CD232" s="259"/>
      <c r="CE232" s="259"/>
      <c r="CF232" s="259"/>
      <c r="CG232" s="259"/>
      <c r="CH232" s="259"/>
      <c r="CI232" s="259"/>
      <c r="CJ232" s="259"/>
      <c r="CK232" s="259"/>
      <c r="CL232" s="259"/>
      <c r="CM232" s="259"/>
      <c r="CN232" s="259"/>
      <c r="CO232" s="259"/>
      <c r="CP232" s="259"/>
      <c r="CQ232" s="259"/>
      <c r="CR232" s="259"/>
      <c r="CS232" s="259"/>
      <c r="CT232" s="259"/>
      <c r="CU232" s="259"/>
      <c r="CV232" s="259"/>
      <c r="CW232" s="259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259"/>
      <c r="BP233" s="259"/>
      <c r="BQ233" s="259"/>
      <c r="BR233" s="259"/>
      <c r="BS233" s="259"/>
      <c r="BT233" s="259"/>
      <c r="BU233" s="259"/>
      <c r="BV233" s="259"/>
      <c r="BW233" s="259"/>
      <c r="BX233" s="259"/>
      <c r="BY233" s="259"/>
      <c r="BZ233" s="260"/>
      <c r="CA233" s="259"/>
      <c r="CB233" s="259"/>
      <c r="CC233" s="259"/>
      <c r="CD233" s="259"/>
      <c r="CE233" s="259"/>
      <c r="CF233" s="259"/>
      <c r="CG233" s="259"/>
      <c r="CH233" s="259"/>
      <c r="CI233" s="259"/>
      <c r="CJ233" s="259"/>
      <c r="CK233" s="259"/>
      <c r="CL233" s="259"/>
      <c r="CM233" s="259"/>
      <c r="CN233" s="259"/>
      <c r="CO233" s="259"/>
      <c r="CP233" s="259"/>
      <c r="CQ233" s="259"/>
      <c r="CR233" s="259"/>
      <c r="CS233" s="259"/>
      <c r="CT233" s="259"/>
      <c r="CU233" s="259"/>
      <c r="CV233" s="259"/>
      <c r="CW233" s="259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259"/>
      <c r="BP234" s="259"/>
      <c r="BQ234" s="259"/>
      <c r="BR234" s="259"/>
      <c r="BS234" s="259"/>
      <c r="BT234" s="259"/>
      <c r="BU234" s="259"/>
      <c r="BV234" s="259"/>
      <c r="BW234" s="259"/>
      <c r="BX234" s="259"/>
      <c r="BY234" s="259"/>
      <c r="BZ234" s="260"/>
      <c r="CA234" s="259"/>
      <c r="CB234" s="259"/>
      <c r="CC234" s="259"/>
      <c r="CD234" s="259"/>
      <c r="CE234" s="259"/>
      <c r="CF234" s="259"/>
      <c r="CG234" s="259"/>
      <c r="CH234" s="259"/>
      <c r="CI234" s="259"/>
      <c r="CJ234" s="259"/>
      <c r="CK234" s="259"/>
      <c r="CL234" s="259"/>
      <c r="CM234" s="259"/>
      <c r="CN234" s="259"/>
      <c r="CO234" s="259"/>
      <c r="CP234" s="259"/>
      <c r="CQ234" s="259"/>
      <c r="CR234" s="259"/>
      <c r="CS234" s="259"/>
      <c r="CT234" s="259"/>
      <c r="CU234" s="259"/>
      <c r="CV234" s="259"/>
      <c r="CW234" s="259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259"/>
      <c r="BP235" s="259"/>
      <c r="BQ235" s="259"/>
      <c r="BR235" s="259"/>
      <c r="BS235" s="259"/>
      <c r="BT235" s="259"/>
      <c r="BU235" s="259"/>
      <c r="BV235" s="259"/>
      <c r="BW235" s="259"/>
      <c r="BX235" s="259"/>
      <c r="BY235" s="259"/>
      <c r="BZ235" s="260"/>
      <c r="CA235" s="259"/>
      <c r="CB235" s="259"/>
      <c r="CC235" s="259"/>
      <c r="CD235" s="259"/>
      <c r="CE235" s="259"/>
      <c r="CF235" s="259"/>
      <c r="CG235" s="259"/>
      <c r="CH235" s="259"/>
      <c r="CI235" s="259"/>
      <c r="CJ235" s="259"/>
      <c r="CK235" s="259"/>
      <c r="CL235" s="259"/>
      <c r="CM235" s="259"/>
      <c r="CN235" s="259"/>
      <c r="CO235" s="259"/>
      <c r="CP235" s="259"/>
      <c r="CQ235" s="259"/>
      <c r="CR235" s="259"/>
      <c r="CS235" s="259"/>
      <c r="CT235" s="259"/>
      <c r="CU235" s="259"/>
      <c r="CV235" s="259"/>
      <c r="CW235" s="259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259"/>
      <c r="BP236" s="259"/>
      <c r="BQ236" s="259"/>
      <c r="BR236" s="259"/>
      <c r="BS236" s="259"/>
      <c r="BT236" s="259"/>
      <c r="BU236" s="259"/>
      <c r="BV236" s="259"/>
      <c r="BW236" s="259"/>
      <c r="BX236" s="259"/>
      <c r="BY236" s="259"/>
      <c r="BZ236" s="260"/>
      <c r="CA236" s="259"/>
      <c r="CB236" s="259"/>
      <c r="CC236" s="259"/>
      <c r="CD236" s="259"/>
      <c r="CE236" s="259"/>
      <c r="CF236" s="259"/>
      <c r="CG236" s="259"/>
      <c r="CH236" s="259"/>
      <c r="CI236" s="259"/>
      <c r="CJ236" s="259"/>
      <c r="CK236" s="259"/>
      <c r="CL236" s="259"/>
      <c r="CM236" s="259"/>
      <c r="CN236" s="259"/>
      <c r="CO236" s="259"/>
      <c r="CP236" s="259"/>
      <c r="CQ236" s="259"/>
      <c r="CR236" s="259"/>
      <c r="CS236" s="259"/>
      <c r="CT236" s="259"/>
      <c r="CU236" s="259"/>
      <c r="CV236" s="259"/>
      <c r="CW236" s="259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259"/>
      <c r="BP237" s="259"/>
      <c r="BQ237" s="259"/>
      <c r="BR237" s="259"/>
      <c r="BS237" s="259"/>
      <c r="BT237" s="259"/>
      <c r="BU237" s="259"/>
      <c r="BV237" s="259"/>
      <c r="BW237" s="259"/>
      <c r="BX237" s="259"/>
      <c r="BY237" s="259"/>
      <c r="BZ237" s="260"/>
      <c r="CA237" s="259"/>
      <c r="CB237" s="259"/>
      <c r="CC237" s="259"/>
      <c r="CD237" s="259"/>
      <c r="CE237" s="259"/>
      <c r="CF237" s="259"/>
      <c r="CG237" s="259"/>
      <c r="CH237" s="259"/>
      <c r="CI237" s="259"/>
      <c r="CJ237" s="259"/>
      <c r="CK237" s="259"/>
      <c r="CL237" s="259"/>
      <c r="CM237" s="259"/>
      <c r="CN237" s="259"/>
      <c r="CO237" s="259"/>
      <c r="CP237" s="259"/>
      <c r="CQ237" s="259"/>
      <c r="CR237" s="259"/>
      <c r="CS237" s="259"/>
      <c r="CT237" s="259"/>
      <c r="CU237" s="259"/>
      <c r="CV237" s="259"/>
      <c r="CW237" s="259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259"/>
      <c r="BP238" s="259"/>
      <c r="BQ238" s="259"/>
      <c r="BR238" s="259"/>
      <c r="BS238" s="259"/>
      <c r="BT238" s="259"/>
      <c r="BU238" s="259"/>
      <c r="BV238" s="259"/>
      <c r="BW238" s="259"/>
      <c r="BX238" s="259"/>
      <c r="BY238" s="259"/>
      <c r="BZ238" s="260"/>
      <c r="CA238" s="259"/>
      <c r="CB238" s="259"/>
      <c r="CC238" s="259"/>
      <c r="CD238" s="259"/>
      <c r="CE238" s="259"/>
      <c r="CF238" s="259"/>
      <c r="CG238" s="259"/>
      <c r="CH238" s="259"/>
      <c r="CI238" s="259"/>
      <c r="CJ238" s="259"/>
      <c r="CK238" s="259"/>
      <c r="CL238" s="259"/>
      <c r="CM238" s="259"/>
      <c r="CN238" s="259"/>
      <c r="CO238" s="259"/>
      <c r="CP238" s="259"/>
      <c r="CQ238" s="259"/>
      <c r="CR238" s="259"/>
      <c r="CS238" s="259"/>
      <c r="CT238" s="259"/>
      <c r="CU238" s="259"/>
      <c r="CV238" s="259"/>
      <c r="CW238" s="259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259"/>
      <c r="BP239" s="259"/>
      <c r="BQ239" s="259"/>
      <c r="BR239" s="259"/>
      <c r="BS239" s="259"/>
      <c r="BT239" s="259"/>
      <c r="BU239" s="259"/>
      <c r="BV239" s="259"/>
      <c r="BW239" s="259"/>
      <c r="BX239" s="259"/>
      <c r="BY239" s="259"/>
      <c r="BZ239" s="260"/>
      <c r="CA239" s="259"/>
      <c r="CB239" s="259"/>
      <c r="CC239" s="259"/>
      <c r="CD239" s="259"/>
      <c r="CE239" s="259"/>
      <c r="CF239" s="259"/>
      <c r="CG239" s="259"/>
      <c r="CH239" s="259"/>
      <c r="CI239" s="259"/>
      <c r="CJ239" s="259"/>
      <c r="CK239" s="259"/>
      <c r="CL239" s="259"/>
      <c r="CM239" s="259"/>
      <c r="CN239" s="259"/>
      <c r="CO239" s="259"/>
      <c r="CP239" s="259"/>
      <c r="CQ239" s="259"/>
      <c r="CR239" s="259"/>
      <c r="CS239" s="259"/>
      <c r="CT239" s="259"/>
      <c r="CU239" s="259"/>
      <c r="CV239" s="259"/>
      <c r="CW239" s="259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259"/>
      <c r="BP240" s="259"/>
      <c r="BQ240" s="259"/>
      <c r="BR240" s="259"/>
      <c r="BS240" s="259"/>
      <c r="BT240" s="259"/>
      <c r="BU240" s="259"/>
      <c r="BV240" s="259"/>
      <c r="BW240" s="259"/>
      <c r="BX240" s="259"/>
      <c r="BY240" s="259"/>
      <c r="BZ240" s="260"/>
      <c r="CA240" s="259"/>
      <c r="CB240" s="259"/>
      <c r="CC240" s="259"/>
      <c r="CD240" s="259"/>
      <c r="CE240" s="259"/>
      <c r="CF240" s="259"/>
      <c r="CG240" s="259"/>
      <c r="CH240" s="259"/>
      <c r="CI240" s="259"/>
      <c r="CJ240" s="259"/>
      <c r="CK240" s="259"/>
      <c r="CL240" s="259"/>
      <c r="CM240" s="259"/>
      <c r="CN240" s="259"/>
      <c r="CO240" s="259"/>
      <c r="CP240" s="259"/>
      <c r="CQ240" s="259"/>
      <c r="CR240" s="259"/>
      <c r="CS240" s="259"/>
      <c r="CT240" s="259"/>
      <c r="CU240" s="259"/>
      <c r="CV240" s="259"/>
      <c r="CW240" s="259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259"/>
      <c r="BP241" s="259"/>
      <c r="BQ241" s="259"/>
      <c r="BR241" s="259"/>
      <c r="BS241" s="259"/>
      <c r="BT241" s="259"/>
      <c r="BU241" s="259"/>
      <c r="BV241" s="259"/>
      <c r="BW241" s="259"/>
      <c r="BX241" s="259"/>
      <c r="BY241" s="259"/>
      <c r="BZ241" s="260"/>
      <c r="CA241" s="259"/>
      <c r="CB241" s="259"/>
      <c r="CC241" s="259"/>
      <c r="CD241" s="259"/>
      <c r="CE241" s="259"/>
      <c r="CF241" s="259"/>
      <c r="CG241" s="259"/>
      <c r="CH241" s="259"/>
      <c r="CI241" s="259"/>
      <c r="CJ241" s="259"/>
      <c r="CK241" s="259"/>
      <c r="CL241" s="259"/>
      <c r="CM241" s="259"/>
      <c r="CN241" s="259"/>
      <c r="CO241" s="259"/>
      <c r="CP241" s="259"/>
      <c r="CQ241" s="259"/>
      <c r="CR241" s="259"/>
      <c r="CS241" s="259"/>
      <c r="CT241" s="259"/>
      <c r="CU241" s="259"/>
      <c r="CV241" s="259"/>
      <c r="CW241" s="259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259"/>
      <c r="BP242" s="259"/>
      <c r="BQ242" s="259"/>
      <c r="BR242" s="259"/>
      <c r="BS242" s="259"/>
      <c r="BT242" s="259"/>
      <c r="BU242" s="259"/>
      <c r="BV242" s="259"/>
      <c r="BW242" s="259"/>
      <c r="BX242" s="259"/>
      <c r="BY242" s="259"/>
      <c r="BZ242" s="260"/>
      <c r="CA242" s="259"/>
      <c r="CB242" s="259"/>
      <c r="CC242" s="259"/>
      <c r="CD242" s="259"/>
      <c r="CE242" s="259"/>
      <c r="CF242" s="259"/>
      <c r="CG242" s="259"/>
      <c r="CH242" s="259"/>
      <c r="CI242" s="259"/>
      <c r="CJ242" s="259"/>
      <c r="CK242" s="259"/>
      <c r="CL242" s="259"/>
      <c r="CM242" s="259"/>
      <c r="CN242" s="259"/>
      <c r="CO242" s="259"/>
      <c r="CP242" s="259"/>
      <c r="CQ242" s="259"/>
      <c r="CR242" s="259"/>
      <c r="CS242" s="259"/>
      <c r="CT242" s="259"/>
      <c r="CU242" s="259"/>
      <c r="CV242" s="259"/>
      <c r="CW242" s="259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259"/>
      <c r="BP243" s="259"/>
      <c r="BQ243" s="259"/>
      <c r="BR243" s="259"/>
      <c r="BS243" s="259"/>
      <c r="BT243" s="259"/>
      <c r="BU243" s="259"/>
      <c r="BV243" s="259"/>
      <c r="BW243" s="259"/>
      <c r="BX243" s="259"/>
      <c r="BY243" s="259"/>
      <c r="BZ243" s="260"/>
      <c r="CA243" s="259"/>
      <c r="CB243" s="259"/>
      <c r="CC243" s="259"/>
      <c r="CD243" s="259"/>
      <c r="CE243" s="259"/>
      <c r="CF243" s="259"/>
      <c r="CG243" s="259"/>
      <c r="CH243" s="259"/>
      <c r="CI243" s="259"/>
      <c r="CJ243" s="259"/>
      <c r="CK243" s="259"/>
      <c r="CL243" s="259"/>
      <c r="CM243" s="259"/>
      <c r="CN243" s="259"/>
      <c r="CO243" s="259"/>
      <c r="CP243" s="259"/>
      <c r="CQ243" s="259"/>
      <c r="CR243" s="259"/>
      <c r="CS243" s="259"/>
      <c r="CT243" s="259"/>
      <c r="CU243" s="259"/>
      <c r="CV243" s="259"/>
      <c r="CW243" s="259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259"/>
      <c r="BP244" s="259"/>
      <c r="BQ244" s="259"/>
      <c r="BR244" s="259"/>
      <c r="BS244" s="259"/>
      <c r="BT244" s="259"/>
      <c r="BU244" s="259"/>
      <c r="BV244" s="259"/>
      <c r="BW244" s="259"/>
      <c r="BX244" s="259"/>
      <c r="BY244" s="259"/>
      <c r="BZ244" s="260"/>
      <c r="CA244" s="259"/>
      <c r="CB244" s="259"/>
      <c r="CC244" s="259"/>
      <c r="CD244" s="259"/>
      <c r="CE244" s="259"/>
      <c r="CF244" s="259"/>
      <c r="CG244" s="259"/>
      <c r="CH244" s="259"/>
      <c r="CI244" s="259"/>
      <c r="CJ244" s="259"/>
      <c r="CK244" s="259"/>
      <c r="CL244" s="259"/>
      <c r="CM244" s="259"/>
      <c r="CN244" s="259"/>
      <c r="CO244" s="259"/>
      <c r="CP244" s="259"/>
      <c r="CQ244" s="259"/>
      <c r="CR244" s="259"/>
      <c r="CS244" s="259"/>
      <c r="CT244" s="259"/>
      <c r="CU244" s="259"/>
      <c r="CV244" s="259"/>
      <c r="CW244" s="259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259"/>
      <c r="BP245" s="259"/>
      <c r="BQ245" s="259"/>
      <c r="BR245" s="259"/>
      <c r="BS245" s="259"/>
      <c r="BT245" s="259"/>
      <c r="BU245" s="259"/>
      <c r="BV245" s="259"/>
      <c r="BW245" s="259"/>
      <c r="BX245" s="259"/>
      <c r="BY245" s="259"/>
      <c r="BZ245" s="260"/>
      <c r="CA245" s="259"/>
      <c r="CB245" s="259"/>
      <c r="CC245" s="259"/>
      <c r="CD245" s="259"/>
      <c r="CE245" s="259"/>
      <c r="CF245" s="259"/>
      <c r="CG245" s="259"/>
      <c r="CH245" s="259"/>
      <c r="CI245" s="259"/>
      <c r="CJ245" s="259"/>
      <c r="CK245" s="259"/>
      <c r="CL245" s="259"/>
      <c r="CM245" s="259"/>
      <c r="CN245" s="259"/>
      <c r="CO245" s="259"/>
      <c r="CP245" s="259"/>
      <c r="CQ245" s="259"/>
      <c r="CR245" s="259"/>
      <c r="CS245" s="259"/>
      <c r="CT245" s="259"/>
      <c r="CU245" s="259"/>
      <c r="CV245" s="259"/>
      <c r="CW245" s="259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259"/>
      <c r="BP246" s="259"/>
      <c r="BQ246" s="259"/>
      <c r="BR246" s="259"/>
      <c r="BS246" s="259"/>
      <c r="BT246" s="259"/>
      <c r="BU246" s="259"/>
      <c r="BV246" s="259"/>
      <c r="BW246" s="259"/>
      <c r="BX246" s="259"/>
      <c r="BY246" s="259"/>
      <c r="BZ246" s="260"/>
      <c r="CA246" s="259"/>
      <c r="CB246" s="259"/>
      <c r="CC246" s="259"/>
      <c r="CD246" s="259"/>
      <c r="CE246" s="259"/>
      <c r="CF246" s="259"/>
      <c r="CG246" s="259"/>
      <c r="CH246" s="259"/>
      <c r="CI246" s="259"/>
      <c r="CJ246" s="259"/>
      <c r="CK246" s="259"/>
      <c r="CL246" s="259"/>
      <c r="CM246" s="259"/>
      <c r="CN246" s="259"/>
      <c r="CO246" s="259"/>
      <c r="CP246" s="259"/>
      <c r="CQ246" s="259"/>
      <c r="CR246" s="259"/>
      <c r="CS246" s="259"/>
      <c r="CT246" s="259"/>
      <c r="CU246" s="259"/>
      <c r="CV246" s="259"/>
      <c r="CW246" s="259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259"/>
      <c r="BP247" s="259"/>
      <c r="BQ247" s="259"/>
      <c r="BR247" s="259"/>
      <c r="BS247" s="259"/>
      <c r="BT247" s="259"/>
      <c r="BU247" s="259"/>
      <c r="BV247" s="259"/>
      <c r="BW247" s="259"/>
      <c r="BX247" s="259"/>
      <c r="BY247" s="259"/>
      <c r="BZ247" s="260"/>
      <c r="CA247" s="259"/>
      <c r="CB247" s="259"/>
      <c r="CC247" s="259"/>
      <c r="CD247" s="259"/>
      <c r="CE247" s="259"/>
      <c r="CF247" s="259"/>
      <c r="CG247" s="259"/>
      <c r="CH247" s="259"/>
      <c r="CI247" s="259"/>
      <c r="CJ247" s="259"/>
      <c r="CK247" s="259"/>
      <c r="CL247" s="259"/>
      <c r="CM247" s="259"/>
      <c r="CN247" s="259"/>
      <c r="CO247" s="259"/>
      <c r="CP247" s="259"/>
      <c r="CQ247" s="259"/>
      <c r="CR247" s="259"/>
      <c r="CS247" s="259"/>
      <c r="CT247" s="259"/>
      <c r="CU247" s="259"/>
      <c r="CV247" s="259"/>
      <c r="CW247" s="259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259"/>
      <c r="BP248" s="259"/>
      <c r="BQ248" s="259"/>
      <c r="BR248" s="259"/>
      <c r="BS248" s="259"/>
      <c r="BT248" s="259"/>
      <c r="BU248" s="259"/>
      <c r="BV248" s="259"/>
      <c r="BW248" s="259"/>
      <c r="BX248" s="259"/>
      <c r="BY248" s="259"/>
      <c r="BZ248" s="260"/>
      <c r="CA248" s="259"/>
      <c r="CB248" s="259"/>
      <c r="CC248" s="259"/>
      <c r="CD248" s="259"/>
      <c r="CE248" s="259"/>
      <c r="CF248" s="259"/>
      <c r="CG248" s="259"/>
      <c r="CH248" s="259"/>
      <c r="CI248" s="259"/>
      <c r="CJ248" s="259"/>
      <c r="CK248" s="259"/>
      <c r="CL248" s="259"/>
      <c r="CM248" s="259"/>
      <c r="CN248" s="259"/>
      <c r="CO248" s="259"/>
      <c r="CP248" s="259"/>
      <c r="CQ248" s="259"/>
      <c r="CR248" s="259"/>
      <c r="CS248" s="259"/>
      <c r="CT248" s="259"/>
      <c r="CU248" s="259"/>
      <c r="CV248" s="259"/>
      <c r="CW248" s="259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259"/>
      <c r="BP249" s="259"/>
      <c r="BQ249" s="259"/>
      <c r="BR249" s="259"/>
      <c r="BS249" s="259"/>
      <c r="BT249" s="259"/>
      <c r="BU249" s="259"/>
      <c r="BV249" s="259"/>
      <c r="BW249" s="259"/>
      <c r="BX249" s="259"/>
      <c r="BY249" s="259"/>
      <c r="BZ249" s="260"/>
      <c r="CA249" s="259"/>
      <c r="CB249" s="259"/>
      <c r="CC249" s="259"/>
      <c r="CD249" s="259"/>
      <c r="CE249" s="259"/>
      <c r="CF249" s="259"/>
      <c r="CG249" s="259"/>
      <c r="CH249" s="259"/>
      <c r="CI249" s="259"/>
      <c r="CJ249" s="259"/>
      <c r="CK249" s="259"/>
      <c r="CL249" s="259"/>
      <c r="CM249" s="259"/>
      <c r="CN249" s="259"/>
      <c r="CO249" s="259"/>
      <c r="CP249" s="259"/>
      <c r="CQ249" s="259"/>
      <c r="CR249" s="259"/>
      <c r="CS249" s="259"/>
      <c r="CT249" s="259"/>
      <c r="CU249" s="259"/>
      <c r="CV249" s="259"/>
      <c r="CW249" s="259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259"/>
      <c r="BP250" s="259"/>
      <c r="BQ250" s="259"/>
      <c r="BR250" s="259"/>
      <c r="BS250" s="259"/>
      <c r="BT250" s="259"/>
      <c r="BU250" s="259"/>
      <c r="BV250" s="259"/>
      <c r="BW250" s="259"/>
      <c r="BX250" s="259"/>
      <c r="BY250" s="259"/>
      <c r="BZ250" s="260"/>
      <c r="CA250" s="259"/>
      <c r="CB250" s="259"/>
      <c r="CC250" s="259"/>
      <c r="CD250" s="259"/>
      <c r="CE250" s="259"/>
      <c r="CF250" s="259"/>
      <c r="CG250" s="259"/>
      <c r="CH250" s="259"/>
      <c r="CI250" s="259"/>
      <c r="CJ250" s="259"/>
      <c r="CK250" s="259"/>
      <c r="CL250" s="259"/>
      <c r="CM250" s="259"/>
      <c r="CN250" s="259"/>
      <c r="CO250" s="259"/>
      <c r="CP250" s="259"/>
      <c r="CQ250" s="259"/>
      <c r="CR250" s="259"/>
      <c r="CS250" s="259"/>
      <c r="CT250" s="259"/>
      <c r="CU250" s="259"/>
      <c r="CV250" s="259"/>
      <c r="CW250" s="259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259"/>
      <c r="BP251" s="259"/>
      <c r="BQ251" s="259"/>
      <c r="BR251" s="259"/>
      <c r="BS251" s="259"/>
      <c r="BT251" s="259"/>
      <c r="BU251" s="259"/>
      <c r="BV251" s="259"/>
      <c r="BW251" s="259"/>
      <c r="BX251" s="259"/>
      <c r="BY251" s="259"/>
      <c r="BZ251" s="260"/>
      <c r="CA251" s="259"/>
      <c r="CB251" s="259"/>
      <c r="CC251" s="259"/>
      <c r="CD251" s="259"/>
      <c r="CE251" s="259"/>
      <c r="CF251" s="259"/>
      <c r="CG251" s="259"/>
      <c r="CH251" s="259"/>
      <c r="CI251" s="259"/>
      <c r="CJ251" s="259"/>
      <c r="CK251" s="259"/>
      <c r="CL251" s="259"/>
      <c r="CM251" s="259"/>
      <c r="CN251" s="259"/>
      <c r="CO251" s="259"/>
      <c r="CP251" s="259"/>
      <c r="CQ251" s="259"/>
      <c r="CR251" s="259"/>
      <c r="CS251" s="259"/>
      <c r="CT251" s="259"/>
      <c r="CU251" s="259"/>
      <c r="CV251" s="259"/>
      <c r="CW251" s="259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259"/>
      <c r="BP252" s="259"/>
      <c r="BQ252" s="259"/>
      <c r="BR252" s="259"/>
      <c r="BS252" s="259"/>
      <c r="BT252" s="259"/>
      <c r="BU252" s="259"/>
      <c r="BV252" s="259"/>
      <c r="BW252" s="259"/>
      <c r="BX252" s="259"/>
      <c r="BY252" s="259"/>
      <c r="BZ252" s="260"/>
      <c r="CA252" s="259"/>
      <c r="CB252" s="259"/>
      <c r="CC252" s="259"/>
      <c r="CD252" s="259"/>
      <c r="CE252" s="259"/>
      <c r="CF252" s="259"/>
      <c r="CG252" s="259"/>
      <c r="CH252" s="259"/>
      <c r="CI252" s="259"/>
      <c r="CJ252" s="259"/>
      <c r="CK252" s="259"/>
      <c r="CL252" s="259"/>
      <c r="CM252" s="259"/>
      <c r="CN252" s="259"/>
      <c r="CO252" s="259"/>
      <c r="CP252" s="259"/>
      <c r="CQ252" s="259"/>
      <c r="CR252" s="259"/>
      <c r="CS252" s="259"/>
      <c r="CT252" s="259"/>
      <c r="CU252" s="259"/>
      <c r="CV252" s="259"/>
      <c r="CW252" s="259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259"/>
      <c r="BP253" s="259"/>
      <c r="BQ253" s="259"/>
      <c r="BR253" s="259"/>
      <c r="BS253" s="259"/>
      <c r="BT253" s="259"/>
      <c r="BU253" s="259"/>
      <c r="BV253" s="259"/>
      <c r="BW253" s="259"/>
      <c r="BX253" s="259"/>
      <c r="BY253" s="259"/>
      <c r="BZ253" s="260"/>
      <c r="CA253" s="259"/>
      <c r="CB253" s="259"/>
      <c r="CC253" s="259"/>
      <c r="CD253" s="259"/>
      <c r="CE253" s="259"/>
      <c r="CF253" s="259"/>
      <c r="CG253" s="259"/>
      <c r="CH253" s="259"/>
      <c r="CI253" s="259"/>
      <c r="CJ253" s="259"/>
      <c r="CK253" s="259"/>
      <c r="CL253" s="259"/>
      <c r="CM253" s="259"/>
      <c r="CN253" s="259"/>
      <c r="CO253" s="259"/>
      <c r="CP253" s="259"/>
      <c r="CQ253" s="259"/>
      <c r="CR253" s="259"/>
      <c r="CS253" s="259"/>
      <c r="CT253" s="259"/>
      <c r="CU253" s="259"/>
      <c r="CV253" s="259"/>
      <c r="CW253" s="259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259"/>
      <c r="BP254" s="259"/>
      <c r="BQ254" s="259"/>
      <c r="BR254" s="259"/>
      <c r="BS254" s="259"/>
      <c r="BT254" s="259"/>
      <c r="BU254" s="259"/>
      <c r="BV254" s="259"/>
      <c r="BW254" s="259"/>
      <c r="BX254" s="259"/>
      <c r="BY254" s="259"/>
      <c r="BZ254" s="260"/>
      <c r="CA254" s="259"/>
      <c r="CB254" s="259"/>
      <c r="CC254" s="259"/>
      <c r="CD254" s="259"/>
      <c r="CE254" s="259"/>
      <c r="CF254" s="259"/>
      <c r="CG254" s="259"/>
      <c r="CH254" s="259"/>
      <c r="CI254" s="259"/>
      <c r="CJ254" s="259"/>
      <c r="CK254" s="259"/>
      <c r="CL254" s="259"/>
      <c r="CM254" s="259"/>
      <c r="CN254" s="259"/>
      <c r="CO254" s="259"/>
      <c r="CP254" s="259"/>
      <c r="CQ254" s="259"/>
      <c r="CR254" s="259"/>
      <c r="CS254" s="259"/>
      <c r="CT254" s="259"/>
      <c r="CU254" s="259"/>
      <c r="CV254" s="259"/>
      <c r="CW254" s="259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259"/>
      <c r="BP255" s="259"/>
      <c r="BQ255" s="259"/>
      <c r="BR255" s="259"/>
      <c r="BS255" s="259"/>
      <c r="BT255" s="259"/>
      <c r="BU255" s="259"/>
      <c r="BV255" s="259"/>
      <c r="BW255" s="259"/>
      <c r="BX255" s="259"/>
      <c r="BY255" s="259"/>
      <c r="BZ255" s="260"/>
      <c r="CA255" s="259"/>
      <c r="CB255" s="259"/>
      <c r="CC255" s="259"/>
      <c r="CD255" s="259"/>
      <c r="CE255" s="259"/>
      <c r="CF255" s="259"/>
      <c r="CG255" s="259"/>
      <c r="CH255" s="259"/>
      <c r="CI255" s="259"/>
      <c r="CJ255" s="259"/>
      <c r="CK255" s="259"/>
      <c r="CL255" s="259"/>
      <c r="CM255" s="259"/>
      <c r="CN255" s="259"/>
      <c r="CO255" s="259"/>
      <c r="CP255" s="259"/>
      <c r="CQ255" s="259"/>
      <c r="CR255" s="259"/>
      <c r="CS255" s="259"/>
      <c r="CT255" s="259"/>
      <c r="CU255" s="259"/>
      <c r="CV255" s="259"/>
      <c r="CW255" s="259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259"/>
      <c r="BP256" s="259"/>
      <c r="BQ256" s="259"/>
      <c r="BR256" s="259"/>
      <c r="BS256" s="259"/>
      <c r="BT256" s="259"/>
      <c r="BU256" s="259"/>
      <c r="BV256" s="259"/>
      <c r="BW256" s="259"/>
      <c r="BX256" s="259"/>
      <c r="BY256" s="259"/>
      <c r="BZ256" s="260"/>
      <c r="CA256" s="259"/>
      <c r="CB256" s="259"/>
      <c r="CC256" s="259"/>
      <c r="CD256" s="259"/>
      <c r="CE256" s="259"/>
      <c r="CF256" s="259"/>
      <c r="CG256" s="259"/>
      <c r="CH256" s="259"/>
      <c r="CI256" s="259"/>
      <c r="CJ256" s="259"/>
      <c r="CK256" s="259"/>
      <c r="CL256" s="259"/>
      <c r="CM256" s="259"/>
      <c r="CN256" s="259"/>
      <c r="CO256" s="259"/>
      <c r="CP256" s="259"/>
      <c r="CQ256" s="259"/>
      <c r="CR256" s="259"/>
      <c r="CS256" s="259"/>
      <c r="CT256" s="259"/>
      <c r="CU256" s="259"/>
      <c r="CV256" s="259"/>
      <c r="CW256" s="259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259"/>
      <c r="BP257" s="259"/>
      <c r="BQ257" s="259"/>
      <c r="BR257" s="259"/>
      <c r="BS257" s="259"/>
      <c r="BT257" s="259"/>
      <c r="BU257" s="259"/>
      <c r="BV257" s="259"/>
      <c r="BW257" s="259"/>
      <c r="BX257" s="259"/>
      <c r="BY257" s="259"/>
      <c r="BZ257" s="260"/>
      <c r="CA257" s="259"/>
      <c r="CB257" s="259"/>
      <c r="CC257" s="259"/>
      <c r="CD257" s="259"/>
      <c r="CE257" s="259"/>
      <c r="CF257" s="259"/>
      <c r="CG257" s="259"/>
      <c r="CH257" s="259"/>
      <c r="CI257" s="259"/>
      <c r="CJ257" s="259"/>
      <c r="CK257" s="259"/>
      <c r="CL257" s="259"/>
      <c r="CM257" s="259"/>
      <c r="CN257" s="259"/>
      <c r="CO257" s="259"/>
      <c r="CP257" s="259"/>
      <c r="CQ257" s="259"/>
      <c r="CR257" s="259"/>
      <c r="CS257" s="259"/>
      <c r="CT257" s="259"/>
      <c r="CU257" s="259"/>
      <c r="CV257" s="259"/>
      <c r="CW257" s="259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259"/>
      <c r="BP258" s="259"/>
      <c r="BQ258" s="259"/>
      <c r="BR258" s="259"/>
      <c r="BS258" s="259"/>
      <c r="BT258" s="259"/>
      <c r="BU258" s="259"/>
      <c r="BV258" s="259"/>
      <c r="BW258" s="259"/>
      <c r="BX258" s="259"/>
      <c r="BY258" s="259"/>
      <c r="BZ258" s="260"/>
      <c r="CA258" s="259"/>
      <c r="CB258" s="259"/>
      <c r="CC258" s="259"/>
      <c r="CD258" s="259"/>
      <c r="CE258" s="259"/>
      <c r="CF258" s="259"/>
      <c r="CG258" s="259"/>
      <c r="CH258" s="259"/>
      <c r="CI258" s="259"/>
      <c r="CJ258" s="259"/>
      <c r="CK258" s="259"/>
      <c r="CL258" s="259"/>
      <c r="CM258" s="259"/>
      <c r="CN258" s="259"/>
      <c r="CO258" s="259"/>
      <c r="CP258" s="259"/>
      <c r="CQ258" s="259"/>
      <c r="CR258" s="259"/>
      <c r="CS258" s="259"/>
      <c r="CT258" s="259"/>
      <c r="CU258" s="259"/>
      <c r="CV258" s="259"/>
      <c r="CW258" s="259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259"/>
      <c r="BP259" s="259"/>
      <c r="BQ259" s="259"/>
      <c r="BR259" s="259"/>
      <c r="BS259" s="259"/>
      <c r="BT259" s="259"/>
      <c r="BU259" s="259"/>
      <c r="BV259" s="259"/>
      <c r="BW259" s="259"/>
      <c r="BX259" s="259"/>
      <c r="BY259" s="259"/>
      <c r="BZ259" s="260"/>
      <c r="CA259" s="259"/>
      <c r="CB259" s="259"/>
      <c r="CC259" s="259"/>
      <c r="CD259" s="259"/>
      <c r="CE259" s="259"/>
      <c r="CF259" s="259"/>
      <c r="CG259" s="259"/>
      <c r="CH259" s="259"/>
      <c r="CI259" s="259"/>
      <c r="CJ259" s="259"/>
      <c r="CK259" s="259"/>
      <c r="CL259" s="259"/>
      <c r="CM259" s="259"/>
      <c r="CN259" s="259"/>
      <c r="CO259" s="259"/>
      <c r="CP259" s="259"/>
      <c r="CQ259" s="259"/>
      <c r="CR259" s="259"/>
      <c r="CS259" s="259"/>
      <c r="CT259" s="259"/>
      <c r="CU259" s="259"/>
      <c r="CV259" s="259"/>
      <c r="CW259" s="259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259"/>
      <c r="BP260" s="259"/>
      <c r="BQ260" s="259"/>
      <c r="BR260" s="259"/>
      <c r="BS260" s="259"/>
      <c r="BT260" s="259"/>
      <c r="BU260" s="259"/>
      <c r="BV260" s="259"/>
      <c r="BW260" s="259"/>
      <c r="BX260" s="259"/>
      <c r="BY260" s="259"/>
      <c r="BZ260" s="260"/>
      <c r="CA260" s="259"/>
      <c r="CB260" s="259"/>
      <c r="CC260" s="259"/>
      <c r="CD260" s="259"/>
      <c r="CE260" s="259"/>
      <c r="CF260" s="259"/>
      <c r="CG260" s="259"/>
      <c r="CH260" s="259"/>
      <c r="CI260" s="259"/>
      <c r="CJ260" s="259"/>
      <c r="CK260" s="259"/>
      <c r="CL260" s="259"/>
      <c r="CM260" s="259"/>
      <c r="CN260" s="259"/>
      <c r="CO260" s="259"/>
      <c r="CP260" s="259"/>
      <c r="CQ260" s="259"/>
      <c r="CR260" s="259"/>
      <c r="CS260" s="259"/>
      <c r="CT260" s="259"/>
      <c r="CU260" s="259"/>
      <c r="CV260" s="259"/>
      <c r="CW260" s="259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259"/>
      <c r="BP261" s="259"/>
      <c r="BQ261" s="259"/>
      <c r="BR261" s="259"/>
      <c r="BS261" s="259"/>
      <c r="BT261" s="259"/>
      <c r="BU261" s="259"/>
      <c r="BV261" s="259"/>
      <c r="BW261" s="259"/>
      <c r="BX261" s="259"/>
      <c r="BY261" s="259"/>
      <c r="BZ261" s="260"/>
      <c r="CA261" s="259"/>
      <c r="CB261" s="259"/>
      <c r="CC261" s="259"/>
      <c r="CD261" s="259"/>
      <c r="CE261" s="259"/>
      <c r="CF261" s="259"/>
      <c r="CG261" s="259"/>
      <c r="CH261" s="259"/>
      <c r="CI261" s="259"/>
      <c r="CJ261" s="259"/>
      <c r="CK261" s="259"/>
      <c r="CL261" s="259"/>
      <c r="CM261" s="259"/>
      <c r="CN261" s="259"/>
      <c r="CO261" s="259"/>
      <c r="CP261" s="259"/>
      <c r="CQ261" s="259"/>
      <c r="CR261" s="259"/>
      <c r="CS261" s="259"/>
      <c r="CT261" s="259"/>
      <c r="CU261" s="259"/>
      <c r="CV261" s="259"/>
      <c r="CW261" s="259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259"/>
      <c r="BP262" s="259"/>
      <c r="BQ262" s="259"/>
      <c r="BR262" s="259"/>
      <c r="BS262" s="259"/>
      <c r="BT262" s="259"/>
      <c r="BU262" s="259"/>
      <c r="BV262" s="259"/>
      <c r="BW262" s="259"/>
      <c r="BX262" s="259"/>
      <c r="BY262" s="259"/>
      <c r="BZ262" s="260"/>
      <c r="CA262" s="259"/>
      <c r="CB262" s="259"/>
      <c r="CC262" s="259"/>
      <c r="CD262" s="259"/>
      <c r="CE262" s="259"/>
      <c r="CF262" s="259"/>
      <c r="CG262" s="259"/>
      <c r="CH262" s="259"/>
      <c r="CI262" s="259"/>
      <c r="CJ262" s="259"/>
      <c r="CK262" s="259"/>
      <c r="CL262" s="259"/>
      <c r="CM262" s="259"/>
      <c r="CN262" s="259"/>
      <c r="CO262" s="259"/>
      <c r="CP262" s="259"/>
      <c r="CQ262" s="259"/>
      <c r="CR262" s="259"/>
      <c r="CS262" s="259"/>
      <c r="CT262" s="259"/>
      <c r="CU262" s="259"/>
      <c r="CV262" s="259"/>
      <c r="CW262" s="259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259"/>
      <c r="BP263" s="259"/>
      <c r="BQ263" s="259"/>
      <c r="BR263" s="259"/>
      <c r="BS263" s="259"/>
      <c r="BT263" s="259"/>
      <c r="BU263" s="259"/>
      <c r="BV263" s="259"/>
      <c r="BW263" s="259"/>
      <c r="BX263" s="259"/>
      <c r="BY263" s="259"/>
      <c r="BZ263" s="260"/>
      <c r="CA263" s="259"/>
      <c r="CB263" s="259"/>
      <c r="CC263" s="259"/>
      <c r="CD263" s="259"/>
      <c r="CE263" s="259"/>
      <c r="CF263" s="259"/>
      <c r="CG263" s="259"/>
      <c r="CH263" s="259"/>
      <c r="CI263" s="259"/>
      <c r="CJ263" s="259"/>
      <c r="CK263" s="259"/>
      <c r="CL263" s="259"/>
      <c r="CM263" s="259"/>
      <c r="CN263" s="259"/>
      <c r="CO263" s="259"/>
      <c r="CP263" s="259"/>
      <c r="CQ263" s="259"/>
      <c r="CR263" s="259"/>
      <c r="CS263" s="259"/>
      <c r="CT263" s="259"/>
      <c r="CU263" s="259"/>
      <c r="CV263" s="259"/>
      <c r="CW263" s="259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259"/>
      <c r="BP264" s="259"/>
      <c r="BQ264" s="259"/>
      <c r="BR264" s="259"/>
      <c r="BS264" s="259"/>
      <c r="BT264" s="259"/>
      <c r="BU264" s="259"/>
      <c r="BV264" s="259"/>
      <c r="BW264" s="259"/>
      <c r="BX264" s="259"/>
      <c r="BY264" s="259"/>
      <c r="BZ264" s="260"/>
      <c r="CA264" s="259"/>
      <c r="CB264" s="259"/>
      <c r="CC264" s="259"/>
      <c r="CD264" s="259"/>
      <c r="CE264" s="259"/>
      <c r="CF264" s="259"/>
      <c r="CG264" s="259"/>
      <c r="CH264" s="259"/>
      <c r="CI264" s="259"/>
      <c r="CJ264" s="259"/>
      <c r="CK264" s="259"/>
      <c r="CL264" s="259"/>
      <c r="CM264" s="259"/>
      <c r="CN264" s="259"/>
      <c r="CO264" s="259"/>
      <c r="CP264" s="259"/>
      <c r="CQ264" s="259"/>
      <c r="CR264" s="259"/>
      <c r="CS264" s="259"/>
      <c r="CT264" s="259"/>
      <c r="CU264" s="259"/>
      <c r="CV264" s="259"/>
      <c r="CW264" s="259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259"/>
      <c r="BP265" s="259"/>
      <c r="BQ265" s="259"/>
      <c r="BR265" s="259"/>
      <c r="BS265" s="259"/>
      <c r="BT265" s="259"/>
      <c r="BU265" s="259"/>
      <c r="BV265" s="259"/>
      <c r="BW265" s="259"/>
      <c r="BX265" s="259"/>
      <c r="BY265" s="259"/>
      <c r="BZ265" s="260"/>
      <c r="CA265" s="259"/>
      <c r="CB265" s="259"/>
      <c r="CC265" s="259"/>
      <c r="CD265" s="259"/>
      <c r="CE265" s="259"/>
      <c r="CF265" s="259"/>
      <c r="CG265" s="259"/>
      <c r="CH265" s="259"/>
      <c r="CI265" s="259"/>
      <c r="CJ265" s="259"/>
      <c r="CK265" s="259"/>
      <c r="CL265" s="259"/>
      <c r="CM265" s="259"/>
      <c r="CN265" s="259"/>
      <c r="CO265" s="259"/>
      <c r="CP265" s="259"/>
      <c r="CQ265" s="259"/>
      <c r="CR265" s="259"/>
      <c r="CS265" s="259"/>
      <c r="CT265" s="259"/>
      <c r="CU265" s="259"/>
      <c r="CV265" s="259"/>
      <c r="CW265" s="259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259"/>
      <c r="BP266" s="259"/>
      <c r="BQ266" s="259"/>
      <c r="BR266" s="259"/>
      <c r="BS266" s="259"/>
      <c r="BT266" s="259"/>
      <c r="BU266" s="259"/>
      <c r="BV266" s="259"/>
      <c r="BW266" s="259"/>
      <c r="BX266" s="259"/>
      <c r="BY266" s="259"/>
      <c r="BZ266" s="260"/>
      <c r="CA266" s="259"/>
      <c r="CB266" s="259"/>
      <c r="CC266" s="259"/>
      <c r="CD266" s="259"/>
      <c r="CE266" s="259"/>
      <c r="CF266" s="259"/>
      <c r="CG266" s="259"/>
      <c r="CH266" s="259"/>
      <c r="CI266" s="259"/>
      <c r="CJ266" s="259"/>
      <c r="CK266" s="259"/>
      <c r="CL266" s="259"/>
      <c r="CM266" s="259"/>
      <c r="CN266" s="259"/>
      <c r="CO266" s="259"/>
      <c r="CP266" s="259"/>
      <c r="CQ266" s="259"/>
      <c r="CR266" s="259"/>
      <c r="CS266" s="259"/>
      <c r="CT266" s="259"/>
      <c r="CU266" s="259"/>
      <c r="CV266" s="259"/>
      <c r="CW266" s="259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259"/>
      <c r="BP267" s="259"/>
      <c r="BQ267" s="259"/>
      <c r="BR267" s="259"/>
      <c r="BS267" s="259"/>
      <c r="BT267" s="259"/>
      <c r="BU267" s="259"/>
      <c r="BV267" s="259"/>
      <c r="BW267" s="259"/>
      <c r="BX267" s="259"/>
      <c r="BY267" s="259"/>
      <c r="BZ267" s="260"/>
      <c r="CA267" s="259"/>
      <c r="CB267" s="259"/>
      <c r="CC267" s="259"/>
      <c r="CD267" s="259"/>
      <c r="CE267" s="259"/>
      <c r="CF267" s="259"/>
      <c r="CG267" s="259"/>
      <c r="CH267" s="259"/>
      <c r="CI267" s="259"/>
      <c r="CJ267" s="259"/>
      <c r="CK267" s="259"/>
      <c r="CL267" s="259"/>
      <c r="CM267" s="259"/>
      <c r="CN267" s="259"/>
      <c r="CO267" s="259"/>
      <c r="CP267" s="259"/>
      <c r="CQ267" s="259"/>
      <c r="CR267" s="259"/>
      <c r="CS267" s="259"/>
      <c r="CT267" s="259"/>
      <c r="CU267" s="259"/>
      <c r="CV267" s="259"/>
      <c r="CW267" s="259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259"/>
      <c r="BP268" s="259"/>
      <c r="BQ268" s="259"/>
      <c r="BR268" s="259"/>
      <c r="BS268" s="259"/>
      <c r="BT268" s="259"/>
      <c r="BU268" s="259"/>
      <c r="BV268" s="259"/>
      <c r="BW268" s="259"/>
      <c r="BX268" s="259"/>
      <c r="BY268" s="259"/>
      <c r="BZ268" s="260"/>
      <c r="CA268" s="259"/>
      <c r="CB268" s="259"/>
      <c r="CC268" s="259"/>
      <c r="CD268" s="259"/>
      <c r="CE268" s="259"/>
      <c r="CF268" s="259"/>
      <c r="CG268" s="259"/>
      <c r="CH268" s="259"/>
      <c r="CI268" s="259"/>
      <c r="CJ268" s="259"/>
      <c r="CK268" s="259"/>
      <c r="CL268" s="259"/>
      <c r="CM268" s="259"/>
      <c r="CN268" s="259"/>
      <c r="CO268" s="259"/>
      <c r="CP268" s="259"/>
      <c r="CQ268" s="259"/>
      <c r="CR268" s="259"/>
      <c r="CS268" s="259"/>
      <c r="CT268" s="259"/>
      <c r="CU268" s="259"/>
      <c r="CV268" s="259"/>
      <c r="CW268" s="259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259"/>
      <c r="BP269" s="259"/>
      <c r="BQ269" s="259"/>
      <c r="BR269" s="259"/>
      <c r="BS269" s="259"/>
      <c r="BT269" s="259"/>
      <c r="BU269" s="259"/>
      <c r="BV269" s="259"/>
      <c r="BW269" s="259"/>
      <c r="BX269" s="259"/>
      <c r="BY269" s="259"/>
      <c r="BZ269" s="260"/>
      <c r="CA269" s="259"/>
      <c r="CB269" s="259"/>
      <c r="CC269" s="259"/>
      <c r="CD269" s="259"/>
      <c r="CE269" s="259"/>
      <c r="CF269" s="259"/>
      <c r="CG269" s="259"/>
      <c r="CH269" s="259"/>
      <c r="CI269" s="259"/>
      <c r="CJ269" s="259"/>
      <c r="CK269" s="259"/>
      <c r="CL269" s="259"/>
      <c r="CM269" s="259"/>
      <c r="CN269" s="259"/>
      <c r="CO269" s="259"/>
      <c r="CP269" s="259"/>
      <c r="CQ269" s="259"/>
      <c r="CR269" s="259"/>
      <c r="CS269" s="259"/>
      <c r="CT269" s="259"/>
      <c r="CU269" s="259"/>
      <c r="CV269" s="259"/>
      <c r="CW269" s="259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259"/>
      <c r="BP270" s="259"/>
      <c r="BQ270" s="259"/>
      <c r="BR270" s="259"/>
      <c r="BS270" s="259"/>
      <c r="BT270" s="259"/>
      <c r="BU270" s="259"/>
      <c r="BV270" s="259"/>
      <c r="BW270" s="259"/>
      <c r="BX270" s="259"/>
      <c r="BY270" s="259"/>
      <c r="BZ270" s="260"/>
      <c r="CA270" s="259"/>
      <c r="CB270" s="259"/>
      <c r="CC270" s="259"/>
      <c r="CD270" s="259"/>
      <c r="CE270" s="259"/>
      <c r="CF270" s="259"/>
      <c r="CG270" s="259"/>
      <c r="CH270" s="259"/>
      <c r="CI270" s="259"/>
      <c r="CJ270" s="259"/>
      <c r="CK270" s="259"/>
      <c r="CL270" s="259"/>
      <c r="CM270" s="259"/>
      <c r="CN270" s="259"/>
      <c r="CO270" s="259"/>
      <c r="CP270" s="259"/>
      <c r="CQ270" s="259"/>
      <c r="CR270" s="259"/>
      <c r="CS270" s="259"/>
      <c r="CT270" s="259"/>
      <c r="CU270" s="259"/>
      <c r="CV270" s="259"/>
      <c r="CW270" s="259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259"/>
      <c r="BP271" s="259"/>
      <c r="BQ271" s="259"/>
      <c r="BR271" s="259"/>
      <c r="BS271" s="259"/>
      <c r="BT271" s="259"/>
      <c r="BU271" s="259"/>
      <c r="BV271" s="259"/>
      <c r="BW271" s="259"/>
      <c r="BX271" s="259"/>
      <c r="BY271" s="259"/>
      <c r="BZ271" s="260"/>
      <c r="CA271" s="259"/>
      <c r="CB271" s="259"/>
      <c r="CC271" s="259"/>
      <c r="CD271" s="259"/>
      <c r="CE271" s="259"/>
      <c r="CF271" s="259"/>
      <c r="CG271" s="259"/>
      <c r="CH271" s="259"/>
      <c r="CI271" s="259"/>
      <c r="CJ271" s="259"/>
      <c r="CK271" s="259"/>
      <c r="CL271" s="259"/>
      <c r="CM271" s="259"/>
      <c r="CN271" s="259"/>
      <c r="CO271" s="259"/>
      <c r="CP271" s="259"/>
      <c r="CQ271" s="259"/>
      <c r="CR271" s="259"/>
      <c r="CS271" s="259"/>
      <c r="CT271" s="259"/>
      <c r="CU271" s="259"/>
      <c r="CV271" s="259"/>
      <c r="CW271" s="259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259"/>
      <c r="BP272" s="259"/>
      <c r="BQ272" s="259"/>
      <c r="BR272" s="259"/>
      <c r="BS272" s="259"/>
      <c r="BT272" s="259"/>
      <c r="BU272" s="259"/>
      <c r="BV272" s="259"/>
      <c r="BW272" s="259"/>
      <c r="BX272" s="259"/>
      <c r="BY272" s="259"/>
      <c r="BZ272" s="260"/>
      <c r="CA272" s="259"/>
      <c r="CB272" s="259"/>
      <c r="CC272" s="259"/>
      <c r="CD272" s="259"/>
      <c r="CE272" s="259"/>
      <c r="CF272" s="259"/>
      <c r="CG272" s="259"/>
      <c r="CH272" s="259"/>
      <c r="CI272" s="259"/>
      <c r="CJ272" s="259"/>
      <c r="CK272" s="259"/>
      <c r="CL272" s="259"/>
      <c r="CM272" s="259"/>
      <c r="CN272" s="259"/>
      <c r="CO272" s="259"/>
      <c r="CP272" s="259"/>
      <c r="CQ272" s="259"/>
      <c r="CR272" s="259"/>
      <c r="CS272" s="259"/>
      <c r="CT272" s="259"/>
      <c r="CU272" s="259"/>
      <c r="CV272" s="259"/>
      <c r="CW272" s="259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259"/>
      <c r="BP273" s="259"/>
      <c r="BQ273" s="259"/>
      <c r="BR273" s="259"/>
      <c r="BS273" s="259"/>
      <c r="BT273" s="259"/>
      <c r="BU273" s="259"/>
      <c r="BV273" s="259"/>
      <c r="BW273" s="259"/>
      <c r="BX273" s="259"/>
      <c r="BY273" s="259"/>
      <c r="BZ273" s="260"/>
      <c r="CA273" s="259"/>
      <c r="CB273" s="259"/>
      <c r="CC273" s="259"/>
      <c r="CD273" s="259"/>
      <c r="CE273" s="259"/>
      <c r="CF273" s="259"/>
      <c r="CG273" s="259"/>
      <c r="CH273" s="259"/>
      <c r="CI273" s="259"/>
      <c r="CJ273" s="259"/>
      <c r="CK273" s="259"/>
      <c r="CL273" s="259"/>
      <c r="CM273" s="259"/>
      <c r="CN273" s="259"/>
      <c r="CO273" s="259"/>
      <c r="CP273" s="259"/>
      <c r="CQ273" s="259"/>
      <c r="CR273" s="259"/>
      <c r="CS273" s="259"/>
      <c r="CT273" s="259"/>
      <c r="CU273" s="259"/>
      <c r="CV273" s="259"/>
      <c r="CW273" s="259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259"/>
      <c r="BP274" s="259"/>
      <c r="BQ274" s="259"/>
      <c r="BR274" s="259"/>
      <c r="BS274" s="259"/>
      <c r="BT274" s="259"/>
      <c r="BU274" s="259"/>
      <c r="BV274" s="259"/>
      <c r="BW274" s="259"/>
      <c r="BX274" s="259"/>
      <c r="BY274" s="259"/>
      <c r="BZ274" s="260"/>
      <c r="CA274" s="259"/>
      <c r="CB274" s="259"/>
      <c r="CC274" s="259"/>
      <c r="CD274" s="259"/>
      <c r="CE274" s="259"/>
      <c r="CF274" s="259"/>
      <c r="CG274" s="259"/>
      <c r="CH274" s="259"/>
      <c r="CI274" s="259"/>
      <c r="CJ274" s="259"/>
      <c r="CK274" s="259"/>
      <c r="CL274" s="259"/>
      <c r="CM274" s="259"/>
      <c r="CN274" s="259"/>
      <c r="CO274" s="259"/>
      <c r="CP274" s="259"/>
      <c r="CQ274" s="259"/>
      <c r="CR274" s="259"/>
      <c r="CS274" s="259"/>
      <c r="CT274" s="259"/>
      <c r="CU274" s="259"/>
      <c r="CV274" s="259"/>
      <c r="CW274" s="259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259"/>
      <c r="BP275" s="259"/>
      <c r="BQ275" s="259"/>
      <c r="BR275" s="259"/>
      <c r="BS275" s="259"/>
      <c r="BT275" s="259"/>
      <c r="BU275" s="259"/>
      <c r="BV275" s="259"/>
      <c r="BW275" s="259"/>
      <c r="BX275" s="259"/>
      <c r="BY275" s="259"/>
      <c r="BZ275" s="260"/>
      <c r="CA275" s="259"/>
      <c r="CB275" s="259"/>
      <c r="CC275" s="259"/>
      <c r="CD275" s="259"/>
      <c r="CE275" s="259"/>
      <c r="CF275" s="259"/>
      <c r="CG275" s="259"/>
      <c r="CH275" s="259"/>
      <c r="CI275" s="259"/>
      <c r="CJ275" s="259"/>
      <c r="CK275" s="259"/>
      <c r="CL275" s="259"/>
      <c r="CM275" s="259"/>
      <c r="CN275" s="259"/>
      <c r="CO275" s="259"/>
      <c r="CP275" s="259"/>
      <c r="CQ275" s="259"/>
      <c r="CR275" s="259"/>
      <c r="CS275" s="259"/>
      <c r="CT275" s="259"/>
      <c r="CU275" s="259"/>
      <c r="CV275" s="259"/>
      <c r="CW275" s="259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259"/>
      <c r="BP276" s="259"/>
      <c r="BQ276" s="259"/>
      <c r="BR276" s="259"/>
      <c r="BS276" s="259"/>
      <c r="BT276" s="259"/>
      <c r="BU276" s="259"/>
      <c r="BV276" s="259"/>
      <c r="BW276" s="259"/>
      <c r="BX276" s="259"/>
      <c r="BY276" s="259"/>
      <c r="BZ276" s="260"/>
      <c r="CA276" s="259"/>
      <c r="CB276" s="259"/>
      <c r="CC276" s="259"/>
      <c r="CD276" s="259"/>
      <c r="CE276" s="259"/>
      <c r="CF276" s="259"/>
      <c r="CG276" s="259"/>
      <c r="CH276" s="259"/>
      <c r="CI276" s="259"/>
      <c r="CJ276" s="259"/>
      <c r="CK276" s="259"/>
      <c r="CL276" s="259"/>
      <c r="CM276" s="259"/>
      <c r="CN276" s="259"/>
      <c r="CO276" s="259"/>
      <c r="CP276" s="259"/>
      <c r="CQ276" s="259"/>
      <c r="CR276" s="259"/>
      <c r="CS276" s="259"/>
      <c r="CT276" s="259"/>
      <c r="CU276" s="259"/>
      <c r="CV276" s="259"/>
      <c r="CW276" s="259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259"/>
      <c r="BP277" s="259"/>
      <c r="BQ277" s="259"/>
      <c r="BR277" s="259"/>
      <c r="BS277" s="259"/>
      <c r="BT277" s="259"/>
      <c r="BU277" s="259"/>
      <c r="BV277" s="259"/>
      <c r="BW277" s="259"/>
      <c r="BX277" s="259"/>
      <c r="BY277" s="259"/>
      <c r="BZ277" s="260"/>
      <c r="CA277" s="259"/>
      <c r="CB277" s="259"/>
      <c r="CC277" s="259"/>
      <c r="CD277" s="259"/>
      <c r="CE277" s="259"/>
      <c r="CF277" s="259"/>
      <c r="CG277" s="259"/>
      <c r="CH277" s="259"/>
      <c r="CI277" s="259"/>
      <c r="CJ277" s="259"/>
      <c r="CK277" s="259"/>
      <c r="CL277" s="259"/>
      <c r="CM277" s="259"/>
      <c r="CN277" s="259"/>
      <c r="CO277" s="259"/>
      <c r="CP277" s="259"/>
      <c r="CQ277" s="259"/>
      <c r="CR277" s="259"/>
      <c r="CS277" s="259"/>
      <c r="CT277" s="259"/>
      <c r="CU277" s="259"/>
      <c r="CV277" s="259"/>
      <c r="CW277" s="259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259"/>
      <c r="BP278" s="259"/>
      <c r="BQ278" s="259"/>
      <c r="BR278" s="259"/>
      <c r="BS278" s="259"/>
      <c r="BT278" s="259"/>
      <c r="BU278" s="259"/>
      <c r="BV278" s="259"/>
      <c r="BW278" s="259"/>
      <c r="BX278" s="259"/>
      <c r="BY278" s="259"/>
      <c r="BZ278" s="260"/>
      <c r="CA278" s="259"/>
      <c r="CB278" s="259"/>
      <c r="CC278" s="259"/>
      <c r="CD278" s="259"/>
      <c r="CE278" s="259"/>
      <c r="CF278" s="259"/>
      <c r="CG278" s="259"/>
      <c r="CH278" s="259"/>
      <c r="CI278" s="259"/>
      <c r="CJ278" s="259"/>
      <c r="CK278" s="259"/>
      <c r="CL278" s="259"/>
      <c r="CM278" s="259"/>
      <c r="CN278" s="259"/>
      <c r="CO278" s="259"/>
      <c r="CP278" s="259"/>
      <c r="CQ278" s="259"/>
      <c r="CR278" s="259"/>
      <c r="CS278" s="259"/>
      <c r="CT278" s="259"/>
      <c r="CU278" s="259"/>
      <c r="CV278" s="259"/>
      <c r="CW278" s="259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259"/>
      <c r="BP279" s="259"/>
      <c r="BQ279" s="259"/>
      <c r="BR279" s="259"/>
      <c r="BS279" s="259"/>
      <c r="BT279" s="259"/>
      <c r="BU279" s="259"/>
      <c r="BV279" s="259"/>
      <c r="BW279" s="259"/>
      <c r="BX279" s="259"/>
      <c r="BY279" s="259"/>
      <c r="BZ279" s="260"/>
      <c r="CA279" s="259"/>
      <c r="CB279" s="259"/>
      <c r="CC279" s="259"/>
      <c r="CD279" s="259"/>
      <c r="CE279" s="259"/>
      <c r="CF279" s="259"/>
      <c r="CG279" s="259"/>
      <c r="CH279" s="259"/>
      <c r="CI279" s="259"/>
      <c r="CJ279" s="259"/>
      <c r="CK279" s="259"/>
      <c r="CL279" s="259"/>
      <c r="CM279" s="259"/>
      <c r="CN279" s="259"/>
      <c r="CO279" s="259"/>
      <c r="CP279" s="259"/>
      <c r="CQ279" s="259"/>
      <c r="CR279" s="259"/>
      <c r="CS279" s="259"/>
      <c r="CT279" s="259"/>
      <c r="CU279" s="259"/>
      <c r="CV279" s="259"/>
      <c r="CW279" s="259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259"/>
      <c r="BP280" s="259"/>
      <c r="BQ280" s="259"/>
      <c r="BR280" s="259"/>
      <c r="BS280" s="259"/>
      <c r="BT280" s="259"/>
      <c r="BU280" s="259"/>
      <c r="BV280" s="259"/>
      <c r="BW280" s="259"/>
      <c r="BX280" s="259"/>
      <c r="BY280" s="259"/>
      <c r="BZ280" s="260"/>
      <c r="CA280" s="259"/>
      <c r="CB280" s="259"/>
      <c r="CC280" s="259"/>
      <c r="CD280" s="259"/>
      <c r="CE280" s="259"/>
      <c r="CF280" s="259"/>
      <c r="CG280" s="259"/>
      <c r="CH280" s="259"/>
      <c r="CI280" s="259"/>
      <c r="CJ280" s="259"/>
      <c r="CK280" s="259"/>
      <c r="CL280" s="259"/>
      <c r="CM280" s="259"/>
      <c r="CN280" s="259"/>
      <c r="CO280" s="259"/>
      <c r="CP280" s="259"/>
      <c r="CQ280" s="259"/>
      <c r="CR280" s="259"/>
      <c r="CS280" s="259"/>
      <c r="CT280" s="259"/>
      <c r="CU280" s="259"/>
      <c r="CV280" s="259"/>
      <c r="CW280" s="259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259"/>
      <c r="BP281" s="259"/>
      <c r="BQ281" s="259"/>
      <c r="BR281" s="259"/>
      <c r="BS281" s="259"/>
      <c r="BT281" s="259"/>
      <c r="BU281" s="259"/>
      <c r="BV281" s="259"/>
      <c r="BW281" s="259"/>
      <c r="BX281" s="259"/>
      <c r="BY281" s="259"/>
      <c r="BZ281" s="260"/>
      <c r="CA281" s="259"/>
      <c r="CB281" s="259"/>
      <c r="CC281" s="259"/>
      <c r="CD281" s="259"/>
      <c r="CE281" s="259"/>
      <c r="CF281" s="259"/>
      <c r="CG281" s="259"/>
      <c r="CH281" s="259"/>
      <c r="CI281" s="259"/>
      <c r="CJ281" s="259"/>
      <c r="CK281" s="259"/>
      <c r="CL281" s="259"/>
      <c r="CM281" s="259"/>
      <c r="CN281" s="259"/>
      <c r="CO281" s="259"/>
      <c r="CP281" s="259"/>
      <c r="CQ281" s="259"/>
      <c r="CR281" s="259"/>
      <c r="CS281" s="259"/>
      <c r="CT281" s="259"/>
      <c r="CU281" s="259"/>
      <c r="CV281" s="259"/>
      <c r="CW281" s="259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259"/>
      <c r="BP282" s="259"/>
      <c r="BQ282" s="259"/>
      <c r="BR282" s="259"/>
      <c r="BS282" s="259"/>
      <c r="BT282" s="259"/>
      <c r="BU282" s="259"/>
      <c r="BV282" s="259"/>
      <c r="BW282" s="259"/>
      <c r="BX282" s="259"/>
      <c r="BY282" s="259"/>
      <c r="BZ282" s="260"/>
      <c r="CA282" s="259"/>
      <c r="CB282" s="259"/>
      <c r="CC282" s="259"/>
      <c r="CD282" s="259"/>
      <c r="CE282" s="259"/>
      <c r="CF282" s="259"/>
      <c r="CG282" s="259"/>
      <c r="CH282" s="259"/>
      <c r="CI282" s="259"/>
      <c r="CJ282" s="259"/>
      <c r="CK282" s="259"/>
      <c r="CL282" s="259"/>
      <c r="CM282" s="259"/>
      <c r="CN282" s="259"/>
      <c r="CO282" s="259"/>
      <c r="CP282" s="259"/>
      <c r="CQ282" s="259"/>
      <c r="CR282" s="259"/>
      <c r="CS282" s="259"/>
      <c r="CT282" s="259"/>
      <c r="CU282" s="259"/>
      <c r="CV282" s="259"/>
      <c r="CW282" s="259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259"/>
      <c r="BP283" s="259"/>
      <c r="BQ283" s="259"/>
      <c r="BR283" s="259"/>
      <c r="BS283" s="259"/>
      <c r="BT283" s="259"/>
      <c r="BU283" s="259"/>
      <c r="BV283" s="259"/>
      <c r="BW283" s="259"/>
      <c r="BX283" s="259"/>
      <c r="BY283" s="259"/>
      <c r="BZ283" s="260"/>
      <c r="CA283" s="259"/>
      <c r="CB283" s="259"/>
      <c r="CC283" s="259"/>
      <c r="CD283" s="259"/>
      <c r="CE283" s="259"/>
      <c r="CF283" s="259"/>
      <c r="CG283" s="259"/>
      <c r="CH283" s="259"/>
      <c r="CI283" s="259"/>
      <c r="CJ283" s="259"/>
      <c r="CK283" s="259"/>
      <c r="CL283" s="259"/>
      <c r="CM283" s="259"/>
      <c r="CN283" s="259"/>
      <c r="CO283" s="259"/>
      <c r="CP283" s="259"/>
      <c r="CQ283" s="259"/>
      <c r="CR283" s="259"/>
      <c r="CS283" s="259"/>
      <c r="CT283" s="259"/>
      <c r="CU283" s="259"/>
      <c r="CV283" s="259"/>
      <c r="CW283" s="259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259"/>
      <c r="BP284" s="259"/>
      <c r="BQ284" s="259"/>
      <c r="BR284" s="259"/>
      <c r="BS284" s="259"/>
      <c r="BT284" s="259"/>
      <c r="BU284" s="259"/>
      <c r="BV284" s="259"/>
      <c r="BW284" s="259"/>
      <c r="BX284" s="259"/>
      <c r="BY284" s="259"/>
      <c r="BZ284" s="260"/>
      <c r="CA284" s="259"/>
      <c r="CB284" s="259"/>
      <c r="CC284" s="259"/>
      <c r="CD284" s="259"/>
      <c r="CE284" s="259"/>
      <c r="CF284" s="259"/>
      <c r="CG284" s="259"/>
      <c r="CH284" s="259"/>
      <c r="CI284" s="259"/>
      <c r="CJ284" s="259"/>
      <c r="CK284" s="259"/>
      <c r="CL284" s="259"/>
      <c r="CM284" s="259"/>
      <c r="CN284" s="259"/>
      <c r="CO284" s="259"/>
      <c r="CP284" s="259"/>
      <c r="CQ284" s="259"/>
      <c r="CR284" s="259"/>
      <c r="CS284" s="259"/>
      <c r="CT284" s="259"/>
      <c r="CU284" s="259"/>
      <c r="CV284" s="259"/>
      <c r="CW284" s="259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259"/>
      <c r="BP285" s="259"/>
      <c r="BQ285" s="259"/>
      <c r="BR285" s="259"/>
      <c r="BS285" s="259"/>
      <c r="BT285" s="259"/>
      <c r="BU285" s="259"/>
      <c r="BV285" s="259"/>
      <c r="BW285" s="259"/>
      <c r="BX285" s="259"/>
      <c r="BY285" s="259"/>
      <c r="BZ285" s="260"/>
      <c r="CA285" s="259"/>
      <c r="CB285" s="259"/>
      <c r="CC285" s="259"/>
      <c r="CD285" s="259"/>
      <c r="CE285" s="259"/>
      <c r="CF285" s="259"/>
      <c r="CG285" s="259"/>
      <c r="CH285" s="259"/>
      <c r="CI285" s="259"/>
      <c r="CJ285" s="259"/>
      <c r="CK285" s="259"/>
      <c r="CL285" s="259"/>
      <c r="CM285" s="259"/>
      <c r="CN285" s="259"/>
      <c r="CO285" s="259"/>
      <c r="CP285" s="259"/>
      <c r="CQ285" s="259"/>
      <c r="CR285" s="259"/>
      <c r="CS285" s="259"/>
      <c r="CT285" s="259"/>
      <c r="CU285" s="259"/>
      <c r="CV285" s="259"/>
      <c r="CW285" s="259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259"/>
      <c r="BP286" s="259"/>
      <c r="BQ286" s="259"/>
      <c r="BR286" s="259"/>
      <c r="BS286" s="259"/>
      <c r="BT286" s="259"/>
      <c r="BU286" s="259"/>
      <c r="BV286" s="259"/>
      <c r="BW286" s="259"/>
      <c r="BX286" s="259"/>
      <c r="BY286" s="259"/>
      <c r="BZ286" s="260"/>
      <c r="CA286" s="259"/>
      <c r="CB286" s="259"/>
      <c r="CC286" s="259"/>
      <c r="CD286" s="259"/>
      <c r="CE286" s="259"/>
      <c r="CF286" s="259"/>
      <c r="CG286" s="259"/>
      <c r="CH286" s="259"/>
      <c r="CI286" s="259"/>
      <c r="CJ286" s="259"/>
      <c r="CK286" s="259"/>
      <c r="CL286" s="259"/>
      <c r="CM286" s="259"/>
      <c r="CN286" s="259"/>
      <c r="CO286" s="259"/>
      <c r="CP286" s="259"/>
      <c r="CQ286" s="259"/>
      <c r="CR286" s="259"/>
      <c r="CS286" s="259"/>
      <c r="CT286" s="259"/>
      <c r="CU286" s="259"/>
      <c r="CV286" s="259"/>
      <c r="CW286" s="259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259"/>
      <c r="BP287" s="259"/>
      <c r="BQ287" s="259"/>
      <c r="BR287" s="259"/>
      <c r="BS287" s="259"/>
      <c r="BT287" s="259"/>
      <c r="BU287" s="259"/>
      <c r="BV287" s="259"/>
      <c r="BW287" s="259"/>
      <c r="BX287" s="259"/>
      <c r="BY287" s="259"/>
      <c r="BZ287" s="260"/>
      <c r="CA287" s="259"/>
      <c r="CB287" s="259"/>
      <c r="CC287" s="259"/>
      <c r="CD287" s="259"/>
      <c r="CE287" s="259"/>
      <c r="CF287" s="259"/>
      <c r="CG287" s="259"/>
      <c r="CH287" s="259"/>
      <c r="CI287" s="259"/>
      <c r="CJ287" s="259"/>
      <c r="CK287" s="259"/>
      <c r="CL287" s="259"/>
      <c r="CM287" s="259"/>
      <c r="CN287" s="259"/>
      <c r="CO287" s="259"/>
      <c r="CP287" s="259"/>
      <c r="CQ287" s="259"/>
      <c r="CR287" s="259"/>
      <c r="CS287" s="259"/>
      <c r="CT287" s="259"/>
      <c r="CU287" s="259"/>
      <c r="CV287" s="259"/>
      <c r="CW287" s="259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259"/>
      <c r="BP288" s="259"/>
      <c r="BQ288" s="259"/>
      <c r="BR288" s="259"/>
      <c r="BS288" s="259"/>
      <c r="BT288" s="259"/>
      <c r="BU288" s="259"/>
      <c r="BV288" s="259"/>
      <c r="BW288" s="259"/>
      <c r="BX288" s="259"/>
      <c r="BY288" s="259"/>
      <c r="BZ288" s="260"/>
      <c r="CA288" s="259"/>
      <c r="CB288" s="259"/>
      <c r="CC288" s="259"/>
      <c r="CD288" s="259"/>
      <c r="CE288" s="259"/>
      <c r="CF288" s="259"/>
      <c r="CG288" s="259"/>
      <c r="CH288" s="259"/>
      <c r="CI288" s="259"/>
      <c r="CJ288" s="259"/>
      <c r="CK288" s="259"/>
      <c r="CL288" s="259"/>
      <c r="CM288" s="259"/>
      <c r="CN288" s="259"/>
      <c r="CO288" s="259"/>
      <c r="CP288" s="259"/>
      <c r="CQ288" s="259"/>
      <c r="CR288" s="259"/>
      <c r="CS288" s="259"/>
      <c r="CT288" s="259"/>
      <c r="CU288" s="259"/>
      <c r="CV288" s="259"/>
      <c r="CW288" s="259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259"/>
      <c r="BP289" s="259"/>
      <c r="BQ289" s="259"/>
      <c r="BR289" s="259"/>
      <c r="BS289" s="259"/>
      <c r="BT289" s="259"/>
      <c r="BU289" s="259"/>
      <c r="BV289" s="259"/>
      <c r="BW289" s="259"/>
      <c r="BX289" s="259"/>
      <c r="BY289" s="259"/>
      <c r="BZ289" s="260"/>
      <c r="CA289" s="259"/>
      <c r="CB289" s="259"/>
      <c r="CC289" s="259"/>
      <c r="CD289" s="259"/>
      <c r="CE289" s="259"/>
      <c r="CF289" s="259"/>
      <c r="CG289" s="259"/>
      <c r="CH289" s="259"/>
      <c r="CI289" s="259"/>
      <c r="CJ289" s="259"/>
      <c r="CK289" s="259"/>
      <c r="CL289" s="259"/>
      <c r="CM289" s="259"/>
      <c r="CN289" s="259"/>
      <c r="CO289" s="259"/>
      <c r="CP289" s="259"/>
      <c r="CQ289" s="259"/>
      <c r="CR289" s="259"/>
      <c r="CS289" s="259"/>
      <c r="CT289" s="259"/>
      <c r="CU289" s="259"/>
      <c r="CV289" s="259"/>
      <c r="CW289" s="259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259"/>
      <c r="BP290" s="259"/>
      <c r="BQ290" s="259"/>
      <c r="BR290" s="259"/>
      <c r="BS290" s="259"/>
      <c r="BT290" s="259"/>
      <c r="BU290" s="259"/>
      <c r="BV290" s="259"/>
      <c r="BW290" s="259"/>
      <c r="BX290" s="259"/>
      <c r="BY290" s="259"/>
      <c r="BZ290" s="260"/>
      <c r="CA290" s="259"/>
      <c r="CB290" s="259"/>
      <c r="CC290" s="259"/>
      <c r="CD290" s="259"/>
      <c r="CE290" s="259"/>
      <c r="CF290" s="259"/>
      <c r="CG290" s="259"/>
      <c r="CH290" s="259"/>
      <c r="CI290" s="259"/>
      <c r="CJ290" s="259"/>
      <c r="CK290" s="259"/>
      <c r="CL290" s="259"/>
      <c r="CM290" s="259"/>
      <c r="CN290" s="259"/>
      <c r="CO290" s="259"/>
      <c r="CP290" s="259"/>
      <c r="CQ290" s="259"/>
      <c r="CR290" s="259"/>
      <c r="CS290" s="259"/>
      <c r="CT290" s="259"/>
      <c r="CU290" s="259"/>
      <c r="CV290" s="259"/>
      <c r="CW290" s="259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259"/>
      <c r="BP291" s="259"/>
      <c r="BQ291" s="259"/>
      <c r="BR291" s="259"/>
      <c r="BS291" s="259"/>
      <c r="BT291" s="259"/>
      <c r="BU291" s="259"/>
      <c r="BV291" s="259"/>
      <c r="BW291" s="259"/>
      <c r="BX291" s="259"/>
      <c r="BY291" s="259"/>
      <c r="BZ291" s="260"/>
      <c r="CA291" s="259"/>
      <c r="CB291" s="259"/>
      <c r="CC291" s="259"/>
      <c r="CD291" s="259"/>
      <c r="CE291" s="259"/>
      <c r="CF291" s="259"/>
      <c r="CG291" s="259"/>
      <c r="CH291" s="259"/>
      <c r="CI291" s="259"/>
      <c r="CJ291" s="259"/>
      <c r="CK291" s="259"/>
      <c r="CL291" s="259"/>
      <c r="CM291" s="259"/>
      <c r="CN291" s="259"/>
      <c r="CO291" s="259"/>
      <c r="CP291" s="259"/>
      <c r="CQ291" s="259"/>
      <c r="CR291" s="259"/>
      <c r="CS291" s="259"/>
      <c r="CT291" s="259"/>
      <c r="CU291" s="259"/>
      <c r="CV291" s="259"/>
      <c r="CW291" s="259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259"/>
      <c r="BP292" s="259"/>
      <c r="BQ292" s="259"/>
      <c r="BR292" s="259"/>
      <c r="BS292" s="259"/>
      <c r="BT292" s="259"/>
      <c r="BU292" s="259"/>
      <c r="BV292" s="259"/>
      <c r="BW292" s="259"/>
      <c r="BX292" s="259"/>
      <c r="BY292" s="259"/>
      <c r="BZ292" s="260"/>
      <c r="CA292" s="259"/>
      <c r="CB292" s="259"/>
      <c r="CC292" s="259"/>
      <c r="CD292" s="259"/>
      <c r="CE292" s="259"/>
      <c r="CF292" s="259"/>
      <c r="CG292" s="259"/>
      <c r="CH292" s="259"/>
      <c r="CI292" s="259"/>
      <c r="CJ292" s="259"/>
      <c r="CK292" s="259"/>
      <c r="CL292" s="259"/>
      <c r="CM292" s="259"/>
      <c r="CN292" s="259"/>
      <c r="CO292" s="259"/>
      <c r="CP292" s="259"/>
      <c r="CQ292" s="259"/>
      <c r="CR292" s="259"/>
      <c r="CS292" s="259"/>
      <c r="CT292" s="259"/>
      <c r="CU292" s="259"/>
      <c r="CV292" s="259"/>
      <c r="CW292" s="259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259"/>
      <c r="BP293" s="259"/>
      <c r="BQ293" s="259"/>
      <c r="BR293" s="259"/>
      <c r="BS293" s="259"/>
      <c r="BT293" s="259"/>
      <c r="BU293" s="259"/>
      <c r="BV293" s="259"/>
      <c r="BW293" s="259"/>
      <c r="BX293" s="259"/>
      <c r="BY293" s="259"/>
      <c r="BZ293" s="260"/>
      <c r="CA293" s="259"/>
      <c r="CB293" s="259"/>
      <c r="CC293" s="259"/>
      <c r="CD293" s="259"/>
      <c r="CE293" s="259"/>
      <c r="CF293" s="259"/>
      <c r="CG293" s="259"/>
      <c r="CH293" s="259"/>
      <c r="CI293" s="259"/>
      <c r="CJ293" s="259"/>
      <c r="CK293" s="259"/>
      <c r="CL293" s="259"/>
      <c r="CM293" s="259"/>
      <c r="CN293" s="259"/>
      <c r="CO293" s="259"/>
      <c r="CP293" s="259"/>
      <c r="CQ293" s="259"/>
      <c r="CR293" s="259"/>
      <c r="CS293" s="259"/>
      <c r="CT293" s="259"/>
      <c r="CU293" s="259"/>
      <c r="CV293" s="259"/>
      <c r="CW293" s="259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259"/>
      <c r="BP294" s="259"/>
      <c r="BQ294" s="259"/>
      <c r="BR294" s="259"/>
      <c r="BS294" s="259"/>
      <c r="BT294" s="259"/>
      <c r="BU294" s="259"/>
      <c r="BV294" s="259"/>
      <c r="BW294" s="259"/>
      <c r="BX294" s="259"/>
      <c r="BY294" s="259"/>
      <c r="BZ294" s="260"/>
      <c r="CA294" s="259"/>
      <c r="CB294" s="259"/>
      <c r="CC294" s="259"/>
      <c r="CD294" s="259"/>
      <c r="CE294" s="259"/>
      <c r="CF294" s="259"/>
      <c r="CG294" s="259"/>
      <c r="CH294" s="259"/>
      <c r="CI294" s="259"/>
      <c r="CJ294" s="259"/>
      <c r="CK294" s="259"/>
      <c r="CL294" s="259"/>
      <c r="CM294" s="259"/>
      <c r="CN294" s="259"/>
      <c r="CO294" s="259"/>
      <c r="CP294" s="259"/>
      <c r="CQ294" s="259"/>
      <c r="CR294" s="259"/>
      <c r="CS294" s="259"/>
      <c r="CT294" s="259"/>
      <c r="CU294" s="259"/>
      <c r="CV294" s="259"/>
      <c r="CW294" s="259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259"/>
      <c r="BP295" s="259"/>
      <c r="BQ295" s="259"/>
      <c r="BR295" s="259"/>
      <c r="BS295" s="259"/>
      <c r="BT295" s="259"/>
      <c r="BU295" s="259"/>
      <c r="BV295" s="259"/>
      <c r="BW295" s="259"/>
      <c r="BX295" s="259"/>
      <c r="BY295" s="259"/>
      <c r="BZ295" s="260"/>
      <c r="CA295" s="259"/>
      <c r="CB295" s="259"/>
      <c r="CC295" s="259"/>
      <c r="CD295" s="259"/>
      <c r="CE295" s="259"/>
      <c r="CF295" s="259"/>
      <c r="CG295" s="259"/>
      <c r="CH295" s="259"/>
      <c r="CI295" s="259"/>
      <c r="CJ295" s="259"/>
      <c r="CK295" s="259"/>
      <c r="CL295" s="259"/>
      <c r="CM295" s="259"/>
      <c r="CN295" s="259"/>
      <c r="CO295" s="259"/>
      <c r="CP295" s="259"/>
      <c r="CQ295" s="259"/>
      <c r="CR295" s="259"/>
      <c r="CS295" s="259"/>
      <c r="CT295" s="259"/>
      <c r="CU295" s="259"/>
      <c r="CV295" s="259"/>
      <c r="CW295" s="259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259"/>
      <c r="BP296" s="259"/>
      <c r="BQ296" s="259"/>
      <c r="BR296" s="259"/>
      <c r="BS296" s="259"/>
      <c r="BT296" s="259"/>
      <c r="BU296" s="259"/>
      <c r="BV296" s="259"/>
      <c r="BW296" s="259"/>
      <c r="BX296" s="259"/>
      <c r="BY296" s="259"/>
      <c r="BZ296" s="260"/>
      <c r="CA296" s="259"/>
      <c r="CB296" s="259"/>
      <c r="CC296" s="259"/>
      <c r="CD296" s="259"/>
      <c r="CE296" s="259"/>
      <c r="CF296" s="259"/>
      <c r="CG296" s="259"/>
      <c r="CH296" s="259"/>
      <c r="CI296" s="259"/>
      <c r="CJ296" s="259"/>
      <c r="CK296" s="259"/>
      <c r="CL296" s="259"/>
      <c r="CM296" s="259"/>
      <c r="CN296" s="259"/>
      <c r="CO296" s="259"/>
      <c r="CP296" s="259"/>
      <c r="CQ296" s="259"/>
      <c r="CR296" s="259"/>
      <c r="CS296" s="259"/>
      <c r="CT296" s="259"/>
      <c r="CU296" s="259"/>
      <c r="CV296" s="259"/>
      <c r="CW296" s="259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259"/>
      <c r="BP297" s="259"/>
      <c r="BQ297" s="259"/>
      <c r="BR297" s="259"/>
      <c r="BS297" s="259"/>
      <c r="BT297" s="259"/>
      <c r="BU297" s="259"/>
      <c r="BV297" s="259"/>
      <c r="BW297" s="259"/>
      <c r="BX297" s="259"/>
      <c r="BY297" s="259"/>
      <c r="BZ297" s="260"/>
      <c r="CA297" s="259"/>
      <c r="CB297" s="259"/>
      <c r="CC297" s="259"/>
      <c r="CD297" s="259"/>
      <c r="CE297" s="259"/>
      <c r="CF297" s="259"/>
      <c r="CG297" s="259"/>
      <c r="CH297" s="259"/>
      <c r="CI297" s="259"/>
      <c r="CJ297" s="259"/>
      <c r="CK297" s="259"/>
      <c r="CL297" s="259"/>
      <c r="CM297" s="259"/>
      <c r="CN297" s="259"/>
      <c r="CO297" s="259"/>
      <c r="CP297" s="259"/>
      <c r="CQ297" s="259"/>
      <c r="CR297" s="259"/>
      <c r="CS297" s="259"/>
      <c r="CT297" s="259"/>
      <c r="CU297" s="259"/>
      <c r="CV297" s="259"/>
      <c r="CW297" s="259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259"/>
      <c r="BP298" s="259"/>
      <c r="BQ298" s="259"/>
      <c r="BR298" s="259"/>
      <c r="BS298" s="259"/>
      <c r="BT298" s="259"/>
      <c r="BU298" s="259"/>
      <c r="BV298" s="259"/>
      <c r="BW298" s="259"/>
      <c r="BX298" s="259"/>
      <c r="BY298" s="259"/>
      <c r="BZ298" s="260"/>
      <c r="CA298" s="259"/>
      <c r="CB298" s="259"/>
      <c r="CC298" s="259"/>
      <c r="CD298" s="259"/>
      <c r="CE298" s="259"/>
      <c r="CF298" s="259"/>
      <c r="CG298" s="259"/>
      <c r="CH298" s="259"/>
      <c r="CI298" s="259"/>
      <c r="CJ298" s="259"/>
      <c r="CK298" s="259"/>
      <c r="CL298" s="259"/>
      <c r="CM298" s="259"/>
      <c r="CN298" s="259"/>
      <c r="CO298" s="259"/>
      <c r="CP298" s="259"/>
      <c r="CQ298" s="259"/>
      <c r="CR298" s="259"/>
      <c r="CS298" s="259"/>
      <c r="CT298" s="259"/>
      <c r="CU298" s="259"/>
      <c r="CV298" s="259"/>
      <c r="CW298" s="259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259"/>
      <c r="BP299" s="259"/>
      <c r="BQ299" s="259"/>
      <c r="BR299" s="259"/>
      <c r="BS299" s="259"/>
      <c r="BT299" s="259"/>
      <c r="BU299" s="259"/>
      <c r="BV299" s="259"/>
      <c r="BW299" s="259"/>
      <c r="BX299" s="259"/>
      <c r="BY299" s="259"/>
      <c r="BZ299" s="260"/>
      <c r="CA299" s="259"/>
      <c r="CB299" s="259"/>
      <c r="CC299" s="259"/>
      <c r="CD299" s="259"/>
      <c r="CE299" s="259"/>
      <c r="CF299" s="259"/>
      <c r="CG299" s="259"/>
      <c r="CH299" s="259"/>
      <c r="CI299" s="259"/>
      <c r="CJ299" s="259"/>
      <c r="CK299" s="259"/>
      <c r="CL299" s="259"/>
      <c r="CM299" s="259"/>
      <c r="CN299" s="259"/>
      <c r="CO299" s="259"/>
      <c r="CP299" s="259"/>
      <c r="CQ299" s="259"/>
      <c r="CR299" s="259"/>
      <c r="CS299" s="259"/>
      <c r="CT299" s="259"/>
      <c r="CU299" s="259"/>
      <c r="CV299" s="259"/>
      <c r="CW299" s="259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259"/>
      <c r="BP300" s="259"/>
      <c r="BQ300" s="259"/>
      <c r="BR300" s="259"/>
      <c r="BS300" s="259"/>
      <c r="BT300" s="259"/>
      <c r="BU300" s="259"/>
      <c r="BV300" s="259"/>
      <c r="BW300" s="259"/>
      <c r="BX300" s="259"/>
      <c r="BY300" s="259"/>
      <c r="BZ300" s="260"/>
      <c r="CA300" s="259"/>
      <c r="CB300" s="259"/>
      <c r="CC300" s="259"/>
      <c r="CD300" s="259"/>
      <c r="CE300" s="259"/>
      <c r="CF300" s="259"/>
      <c r="CG300" s="259"/>
      <c r="CH300" s="259"/>
      <c r="CI300" s="259"/>
      <c r="CJ300" s="259"/>
      <c r="CK300" s="259"/>
      <c r="CL300" s="259"/>
      <c r="CM300" s="259"/>
      <c r="CN300" s="259"/>
      <c r="CO300" s="259"/>
      <c r="CP300" s="259"/>
      <c r="CQ300" s="259"/>
      <c r="CR300" s="259"/>
      <c r="CS300" s="259"/>
      <c r="CT300" s="259"/>
      <c r="CU300" s="259"/>
      <c r="CV300" s="259"/>
      <c r="CW300" s="259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259"/>
      <c r="BP301" s="259"/>
      <c r="BQ301" s="259"/>
      <c r="BR301" s="259"/>
      <c r="BS301" s="259"/>
      <c r="BT301" s="259"/>
      <c r="BU301" s="259"/>
      <c r="BV301" s="259"/>
      <c r="BW301" s="259"/>
      <c r="BX301" s="259"/>
      <c r="BY301" s="259"/>
      <c r="BZ301" s="260"/>
      <c r="CA301" s="259"/>
      <c r="CB301" s="259"/>
      <c r="CC301" s="259"/>
      <c r="CD301" s="259"/>
      <c r="CE301" s="259"/>
      <c r="CF301" s="259"/>
      <c r="CG301" s="259"/>
      <c r="CH301" s="259"/>
      <c r="CI301" s="259"/>
      <c r="CJ301" s="259"/>
      <c r="CK301" s="259"/>
      <c r="CL301" s="259"/>
      <c r="CM301" s="259"/>
      <c r="CN301" s="259"/>
      <c r="CO301" s="259"/>
      <c r="CP301" s="259"/>
      <c r="CQ301" s="259"/>
      <c r="CR301" s="259"/>
      <c r="CS301" s="259"/>
      <c r="CT301" s="259"/>
      <c r="CU301" s="259"/>
      <c r="CV301" s="259"/>
      <c r="CW301" s="259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259"/>
      <c r="BP302" s="259"/>
      <c r="BQ302" s="259"/>
      <c r="BR302" s="259"/>
      <c r="BS302" s="259"/>
      <c r="BT302" s="259"/>
      <c r="BU302" s="259"/>
      <c r="BV302" s="259"/>
      <c r="BW302" s="259"/>
      <c r="BX302" s="259"/>
      <c r="BY302" s="259"/>
      <c r="BZ302" s="260"/>
      <c r="CA302" s="259"/>
      <c r="CB302" s="259"/>
      <c r="CC302" s="259"/>
      <c r="CD302" s="259"/>
      <c r="CE302" s="259"/>
      <c r="CF302" s="259"/>
      <c r="CG302" s="259"/>
      <c r="CH302" s="259"/>
      <c r="CI302" s="259"/>
      <c r="CJ302" s="259"/>
      <c r="CK302" s="259"/>
      <c r="CL302" s="259"/>
      <c r="CM302" s="259"/>
      <c r="CN302" s="259"/>
      <c r="CO302" s="259"/>
      <c r="CP302" s="259"/>
      <c r="CQ302" s="259"/>
      <c r="CR302" s="259"/>
      <c r="CS302" s="259"/>
      <c r="CT302" s="259"/>
      <c r="CU302" s="259"/>
      <c r="CV302" s="259"/>
      <c r="CW302" s="259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259"/>
      <c r="BP303" s="259"/>
      <c r="BQ303" s="259"/>
      <c r="BR303" s="259"/>
      <c r="BS303" s="259"/>
      <c r="BT303" s="259"/>
      <c r="BU303" s="259"/>
      <c r="BV303" s="259"/>
      <c r="BW303" s="259"/>
      <c r="BX303" s="259"/>
      <c r="BY303" s="259"/>
      <c r="BZ303" s="260"/>
      <c r="CA303" s="259"/>
      <c r="CB303" s="259"/>
      <c r="CC303" s="259"/>
      <c r="CD303" s="259"/>
      <c r="CE303" s="259"/>
      <c r="CF303" s="259"/>
      <c r="CG303" s="259"/>
      <c r="CH303" s="259"/>
      <c r="CI303" s="259"/>
      <c r="CJ303" s="259"/>
      <c r="CK303" s="259"/>
      <c r="CL303" s="259"/>
      <c r="CM303" s="259"/>
      <c r="CN303" s="259"/>
      <c r="CO303" s="259"/>
      <c r="CP303" s="259"/>
      <c r="CQ303" s="259"/>
      <c r="CR303" s="259"/>
      <c r="CS303" s="259"/>
      <c r="CT303" s="259"/>
      <c r="CU303" s="259"/>
      <c r="CV303" s="259"/>
      <c r="CW303" s="259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259"/>
      <c r="BP304" s="259"/>
      <c r="BQ304" s="259"/>
      <c r="BR304" s="259"/>
      <c r="BS304" s="259"/>
      <c r="BT304" s="259"/>
      <c r="BU304" s="259"/>
      <c r="BV304" s="259"/>
      <c r="BW304" s="259"/>
      <c r="BX304" s="259"/>
      <c r="BY304" s="259"/>
      <c r="BZ304" s="260"/>
      <c r="CA304" s="259"/>
      <c r="CB304" s="259"/>
      <c r="CC304" s="259"/>
      <c r="CD304" s="259"/>
      <c r="CE304" s="259"/>
      <c r="CF304" s="259"/>
      <c r="CG304" s="259"/>
      <c r="CH304" s="259"/>
      <c r="CI304" s="259"/>
      <c r="CJ304" s="259"/>
      <c r="CK304" s="259"/>
      <c r="CL304" s="259"/>
      <c r="CM304" s="259"/>
      <c r="CN304" s="259"/>
      <c r="CO304" s="259"/>
      <c r="CP304" s="259"/>
      <c r="CQ304" s="259"/>
      <c r="CR304" s="259"/>
      <c r="CS304" s="259"/>
      <c r="CT304" s="259"/>
      <c r="CU304" s="259"/>
      <c r="CV304" s="259"/>
      <c r="CW304" s="259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259"/>
      <c r="BP305" s="259"/>
      <c r="BQ305" s="259"/>
      <c r="BR305" s="259"/>
      <c r="BS305" s="259"/>
      <c r="BT305" s="259"/>
      <c r="BU305" s="259"/>
      <c r="BV305" s="259"/>
      <c r="BW305" s="259"/>
      <c r="BX305" s="259"/>
      <c r="BY305" s="259"/>
      <c r="BZ305" s="260"/>
      <c r="CA305" s="259"/>
      <c r="CB305" s="259"/>
      <c r="CC305" s="259"/>
      <c r="CD305" s="259"/>
      <c r="CE305" s="259"/>
      <c r="CF305" s="259"/>
      <c r="CG305" s="259"/>
      <c r="CH305" s="259"/>
      <c r="CI305" s="259"/>
      <c r="CJ305" s="259"/>
      <c r="CK305" s="259"/>
      <c r="CL305" s="259"/>
      <c r="CM305" s="259"/>
      <c r="CN305" s="259"/>
      <c r="CO305" s="259"/>
      <c r="CP305" s="259"/>
      <c r="CQ305" s="259"/>
      <c r="CR305" s="259"/>
      <c r="CS305" s="259"/>
      <c r="CT305" s="259"/>
      <c r="CU305" s="259"/>
      <c r="CV305" s="259"/>
      <c r="CW305" s="259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259"/>
      <c r="BP306" s="259"/>
      <c r="BQ306" s="259"/>
      <c r="BR306" s="259"/>
      <c r="BS306" s="259"/>
      <c r="BT306" s="259"/>
      <c r="BU306" s="259"/>
      <c r="BV306" s="259"/>
      <c r="BW306" s="259"/>
      <c r="BX306" s="259"/>
      <c r="BY306" s="259"/>
      <c r="BZ306" s="260"/>
      <c r="CA306" s="259"/>
      <c r="CB306" s="259"/>
      <c r="CC306" s="259"/>
      <c r="CD306" s="259"/>
      <c r="CE306" s="259"/>
      <c r="CF306" s="259"/>
      <c r="CG306" s="259"/>
      <c r="CH306" s="259"/>
      <c r="CI306" s="259"/>
      <c r="CJ306" s="259"/>
      <c r="CK306" s="259"/>
      <c r="CL306" s="259"/>
      <c r="CM306" s="259"/>
      <c r="CN306" s="259"/>
      <c r="CO306" s="259"/>
      <c r="CP306" s="259"/>
      <c r="CQ306" s="259"/>
      <c r="CR306" s="259"/>
      <c r="CS306" s="259"/>
      <c r="CT306" s="259"/>
      <c r="CU306" s="259"/>
      <c r="CV306" s="259"/>
      <c r="CW306" s="259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259"/>
      <c r="BP307" s="259"/>
      <c r="BQ307" s="259"/>
      <c r="BR307" s="259"/>
      <c r="BS307" s="259"/>
      <c r="BT307" s="259"/>
      <c r="BU307" s="259"/>
      <c r="BV307" s="259"/>
      <c r="BW307" s="259"/>
      <c r="BX307" s="259"/>
      <c r="BY307" s="259"/>
      <c r="BZ307" s="260"/>
      <c r="CA307" s="259"/>
      <c r="CB307" s="259"/>
      <c r="CC307" s="259"/>
      <c r="CD307" s="259"/>
      <c r="CE307" s="259"/>
      <c r="CF307" s="259"/>
      <c r="CG307" s="259"/>
      <c r="CH307" s="259"/>
      <c r="CI307" s="259"/>
      <c r="CJ307" s="259"/>
      <c r="CK307" s="259"/>
      <c r="CL307" s="259"/>
      <c r="CM307" s="259"/>
      <c r="CN307" s="259"/>
      <c r="CO307" s="259"/>
      <c r="CP307" s="259"/>
      <c r="CQ307" s="259"/>
      <c r="CR307" s="259"/>
      <c r="CS307" s="259"/>
      <c r="CT307" s="259"/>
      <c r="CU307" s="259"/>
      <c r="CV307" s="259"/>
      <c r="CW307" s="259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259"/>
      <c r="BP308" s="259"/>
      <c r="BQ308" s="259"/>
      <c r="BR308" s="259"/>
      <c r="BS308" s="259"/>
      <c r="BT308" s="259"/>
      <c r="BU308" s="259"/>
      <c r="BV308" s="259"/>
      <c r="BW308" s="259"/>
      <c r="BX308" s="259"/>
      <c r="BY308" s="259"/>
      <c r="BZ308" s="260"/>
      <c r="CA308" s="259"/>
      <c r="CB308" s="259"/>
      <c r="CC308" s="259"/>
      <c r="CD308" s="259"/>
      <c r="CE308" s="259"/>
      <c r="CF308" s="259"/>
      <c r="CG308" s="259"/>
      <c r="CH308" s="259"/>
      <c r="CI308" s="259"/>
      <c r="CJ308" s="259"/>
      <c r="CK308" s="259"/>
      <c r="CL308" s="259"/>
      <c r="CM308" s="259"/>
      <c r="CN308" s="259"/>
      <c r="CO308" s="259"/>
      <c r="CP308" s="259"/>
      <c r="CQ308" s="259"/>
      <c r="CR308" s="259"/>
      <c r="CS308" s="259"/>
      <c r="CT308" s="259"/>
      <c r="CU308" s="259"/>
      <c r="CV308" s="259"/>
      <c r="CW308" s="259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259"/>
      <c r="BP309" s="259"/>
      <c r="BQ309" s="259"/>
      <c r="BR309" s="259"/>
      <c r="BS309" s="259"/>
      <c r="BT309" s="259"/>
      <c r="BU309" s="259"/>
      <c r="BV309" s="259"/>
      <c r="BW309" s="259"/>
      <c r="BX309" s="259"/>
      <c r="BY309" s="259"/>
      <c r="BZ309" s="260"/>
      <c r="CA309" s="259"/>
      <c r="CB309" s="259"/>
      <c r="CC309" s="259"/>
      <c r="CD309" s="259"/>
      <c r="CE309" s="259"/>
      <c r="CF309" s="259"/>
      <c r="CG309" s="259"/>
      <c r="CH309" s="259"/>
      <c r="CI309" s="259"/>
      <c r="CJ309" s="259"/>
      <c r="CK309" s="259"/>
      <c r="CL309" s="259"/>
      <c r="CM309" s="259"/>
      <c r="CN309" s="259"/>
      <c r="CO309" s="259"/>
      <c r="CP309" s="259"/>
      <c r="CQ309" s="259"/>
      <c r="CR309" s="259"/>
      <c r="CS309" s="259"/>
      <c r="CT309" s="259"/>
      <c r="CU309" s="259"/>
      <c r="CV309" s="259"/>
      <c r="CW309" s="259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259"/>
      <c r="BP310" s="259"/>
      <c r="BQ310" s="259"/>
      <c r="BR310" s="259"/>
      <c r="BS310" s="259"/>
      <c r="BT310" s="259"/>
      <c r="BU310" s="259"/>
      <c r="BV310" s="259"/>
      <c r="BW310" s="259"/>
      <c r="BX310" s="259"/>
      <c r="BY310" s="259"/>
      <c r="BZ310" s="260"/>
      <c r="CA310" s="259"/>
      <c r="CB310" s="259"/>
      <c r="CC310" s="259"/>
      <c r="CD310" s="259"/>
      <c r="CE310" s="259"/>
      <c r="CF310" s="259"/>
      <c r="CG310" s="259"/>
      <c r="CH310" s="259"/>
      <c r="CI310" s="259"/>
      <c r="CJ310" s="259"/>
      <c r="CK310" s="259"/>
      <c r="CL310" s="259"/>
      <c r="CM310" s="259"/>
      <c r="CN310" s="259"/>
      <c r="CO310" s="259"/>
      <c r="CP310" s="259"/>
      <c r="CQ310" s="259"/>
      <c r="CR310" s="259"/>
      <c r="CS310" s="259"/>
      <c r="CT310" s="259"/>
      <c r="CU310" s="259"/>
      <c r="CV310" s="259"/>
      <c r="CW310" s="259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259"/>
      <c r="BP311" s="259"/>
      <c r="BQ311" s="259"/>
      <c r="BR311" s="259"/>
      <c r="BS311" s="259"/>
      <c r="BT311" s="259"/>
      <c r="BU311" s="259"/>
      <c r="BV311" s="259"/>
      <c r="BW311" s="259"/>
      <c r="BX311" s="259"/>
      <c r="BY311" s="259"/>
      <c r="BZ311" s="260"/>
      <c r="CA311" s="259"/>
      <c r="CB311" s="259"/>
      <c r="CC311" s="259"/>
      <c r="CD311" s="259"/>
      <c r="CE311" s="259"/>
      <c r="CF311" s="259"/>
      <c r="CG311" s="259"/>
      <c r="CH311" s="259"/>
      <c r="CI311" s="259"/>
      <c r="CJ311" s="259"/>
      <c r="CK311" s="259"/>
      <c r="CL311" s="259"/>
      <c r="CM311" s="259"/>
      <c r="CN311" s="259"/>
      <c r="CO311" s="259"/>
      <c r="CP311" s="259"/>
      <c r="CQ311" s="259"/>
      <c r="CR311" s="259"/>
      <c r="CS311" s="259"/>
      <c r="CT311" s="259"/>
      <c r="CU311" s="259"/>
      <c r="CV311" s="259"/>
      <c r="CW311" s="259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259"/>
      <c r="BP312" s="259"/>
      <c r="BQ312" s="259"/>
      <c r="BR312" s="259"/>
      <c r="BS312" s="259"/>
      <c r="BT312" s="259"/>
      <c r="BU312" s="259"/>
      <c r="BV312" s="259"/>
      <c r="BW312" s="259"/>
      <c r="BX312" s="259"/>
      <c r="BY312" s="259"/>
      <c r="BZ312" s="260"/>
      <c r="CA312" s="259"/>
      <c r="CB312" s="259"/>
      <c r="CC312" s="259"/>
      <c r="CD312" s="259"/>
      <c r="CE312" s="259"/>
      <c r="CF312" s="259"/>
      <c r="CG312" s="259"/>
      <c r="CH312" s="259"/>
      <c r="CI312" s="259"/>
      <c r="CJ312" s="259"/>
      <c r="CK312" s="259"/>
      <c r="CL312" s="259"/>
      <c r="CM312" s="259"/>
      <c r="CN312" s="259"/>
      <c r="CO312" s="259"/>
      <c r="CP312" s="259"/>
      <c r="CQ312" s="259"/>
      <c r="CR312" s="259"/>
      <c r="CS312" s="259"/>
      <c r="CT312" s="259"/>
      <c r="CU312" s="259"/>
      <c r="CV312" s="259"/>
      <c r="CW312" s="259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259"/>
      <c r="BP313" s="259"/>
      <c r="BQ313" s="259"/>
      <c r="BR313" s="259"/>
      <c r="BS313" s="259"/>
      <c r="BT313" s="259"/>
      <c r="BU313" s="259"/>
      <c r="BV313" s="259"/>
      <c r="BW313" s="259"/>
      <c r="BX313" s="259"/>
      <c r="BY313" s="259"/>
      <c r="BZ313" s="260"/>
      <c r="CA313" s="259"/>
      <c r="CB313" s="259"/>
      <c r="CC313" s="259"/>
      <c r="CD313" s="259"/>
      <c r="CE313" s="259"/>
      <c r="CF313" s="259"/>
      <c r="CG313" s="259"/>
      <c r="CH313" s="259"/>
      <c r="CI313" s="259"/>
      <c r="CJ313" s="259"/>
      <c r="CK313" s="259"/>
      <c r="CL313" s="259"/>
      <c r="CM313" s="259"/>
      <c r="CN313" s="259"/>
      <c r="CO313" s="259"/>
      <c r="CP313" s="259"/>
      <c r="CQ313" s="259"/>
      <c r="CR313" s="259"/>
      <c r="CS313" s="259"/>
      <c r="CT313" s="259"/>
      <c r="CU313" s="259"/>
      <c r="CV313" s="259"/>
      <c r="CW313" s="259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259"/>
      <c r="BP314" s="259"/>
      <c r="BQ314" s="259"/>
      <c r="BR314" s="259"/>
      <c r="BS314" s="259"/>
      <c r="BT314" s="259"/>
      <c r="BU314" s="259"/>
      <c r="BV314" s="259"/>
      <c r="BW314" s="259"/>
      <c r="BX314" s="259"/>
      <c r="BY314" s="259"/>
      <c r="BZ314" s="260"/>
      <c r="CA314" s="259"/>
      <c r="CB314" s="259"/>
      <c r="CC314" s="259"/>
      <c r="CD314" s="259"/>
      <c r="CE314" s="259"/>
      <c r="CF314" s="259"/>
      <c r="CG314" s="259"/>
      <c r="CH314" s="259"/>
      <c r="CI314" s="259"/>
      <c r="CJ314" s="259"/>
      <c r="CK314" s="259"/>
      <c r="CL314" s="259"/>
      <c r="CM314" s="259"/>
      <c r="CN314" s="259"/>
      <c r="CO314" s="259"/>
      <c r="CP314" s="259"/>
      <c r="CQ314" s="259"/>
      <c r="CR314" s="259"/>
      <c r="CS314" s="259"/>
      <c r="CT314" s="259"/>
      <c r="CU314" s="259"/>
      <c r="CV314" s="259"/>
      <c r="CW314" s="259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259"/>
      <c r="BP315" s="259"/>
      <c r="BQ315" s="259"/>
      <c r="BR315" s="259"/>
      <c r="BS315" s="259"/>
      <c r="BT315" s="259"/>
      <c r="BU315" s="259"/>
      <c r="BV315" s="259"/>
      <c r="BW315" s="259"/>
      <c r="BX315" s="259"/>
      <c r="BY315" s="259"/>
      <c r="BZ315" s="260"/>
      <c r="CA315" s="259"/>
      <c r="CB315" s="259"/>
      <c r="CC315" s="259"/>
      <c r="CD315" s="259"/>
      <c r="CE315" s="259"/>
      <c r="CF315" s="259"/>
      <c r="CG315" s="259"/>
      <c r="CH315" s="259"/>
      <c r="CI315" s="259"/>
      <c r="CJ315" s="259"/>
      <c r="CK315" s="259"/>
      <c r="CL315" s="259"/>
      <c r="CM315" s="259"/>
      <c r="CN315" s="259"/>
      <c r="CO315" s="259"/>
      <c r="CP315" s="259"/>
      <c r="CQ315" s="259"/>
      <c r="CR315" s="259"/>
      <c r="CS315" s="259"/>
      <c r="CT315" s="259"/>
      <c r="CU315" s="259"/>
      <c r="CV315" s="259"/>
      <c r="CW315" s="259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259"/>
      <c r="BP316" s="259"/>
      <c r="BQ316" s="259"/>
      <c r="BR316" s="259"/>
      <c r="BS316" s="259"/>
      <c r="BT316" s="259"/>
      <c r="BU316" s="259"/>
      <c r="BV316" s="259"/>
      <c r="BW316" s="259"/>
      <c r="BX316" s="259"/>
      <c r="BY316" s="259"/>
      <c r="BZ316" s="260"/>
      <c r="CA316" s="259"/>
      <c r="CB316" s="259"/>
      <c r="CC316" s="259"/>
      <c r="CD316" s="259"/>
      <c r="CE316" s="259"/>
      <c r="CF316" s="259"/>
      <c r="CG316" s="259"/>
      <c r="CH316" s="259"/>
      <c r="CI316" s="259"/>
      <c r="CJ316" s="259"/>
      <c r="CK316" s="259"/>
      <c r="CL316" s="259"/>
      <c r="CM316" s="259"/>
      <c r="CN316" s="259"/>
      <c r="CO316" s="259"/>
      <c r="CP316" s="259"/>
      <c r="CQ316" s="259"/>
      <c r="CR316" s="259"/>
      <c r="CS316" s="259"/>
      <c r="CT316" s="259"/>
      <c r="CU316" s="259"/>
      <c r="CV316" s="259"/>
      <c r="CW316" s="259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259"/>
      <c r="BP317" s="259"/>
      <c r="BQ317" s="259"/>
      <c r="BR317" s="259"/>
      <c r="BS317" s="259"/>
      <c r="BT317" s="259"/>
      <c r="BU317" s="259"/>
      <c r="BV317" s="259"/>
      <c r="BW317" s="259"/>
      <c r="BX317" s="259"/>
      <c r="BY317" s="259"/>
      <c r="BZ317" s="260"/>
      <c r="CA317" s="259"/>
      <c r="CB317" s="259"/>
      <c r="CC317" s="259"/>
      <c r="CD317" s="259"/>
      <c r="CE317" s="259"/>
      <c r="CF317" s="259"/>
      <c r="CG317" s="259"/>
      <c r="CH317" s="259"/>
      <c r="CI317" s="259"/>
      <c r="CJ317" s="259"/>
      <c r="CK317" s="259"/>
      <c r="CL317" s="259"/>
      <c r="CM317" s="259"/>
      <c r="CN317" s="259"/>
      <c r="CO317" s="259"/>
      <c r="CP317" s="259"/>
      <c r="CQ317" s="259"/>
      <c r="CR317" s="259"/>
      <c r="CS317" s="259"/>
      <c r="CT317" s="259"/>
      <c r="CU317" s="259"/>
      <c r="CV317" s="259"/>
      <c r="CW317" s="259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259"/>
      <c r="BP318" s="259"/>
      <c r="BQ318" s="259"/>
      <c r="BR318" s="259"/>
      <c r="BS318" s="259"/>
      <c r="BT318" s="259"/>
      <c r="BU318" s="259"/>
      <c r="BV318" s="259"/>
      <c r="BW318" s="259"/>
      <c r="BX318" s="259"/>
      <c r="BY318" s="259"/>
      <c r="BZ318" s="260"/>
      <c r="CA318" s="259"/>
      <c r="CB318" s="259"/>
      <c r="CC318" s="259"/>
      <c r="CD318" s="259"/>
      <c r="CE318" s="259"/>
      <c r="CF318" s="259"/>
      <c r="CG318" s="259"/>
      <c r="CH318" s="259"/>
      <c r="CI318" s="259"/>
      <c r="CJ318" s="259"/>
      <c r="CK318" s="259"/>
      <c r="CL318" s="259"/>
      <c r="CM318" s="259"/>
      <c r="CN318" s="259"/>
      <c r="CO318" s="259"/>
      <c r="CP318" s="259"/>
      <c r="CQ318" s="259"/>
      <c r="CR318" s="259"/>
      <c r="CS318" s="259"/>
      <c r="CT318" s="259"/>
      <c r="CU318" s="259"/>
      <c r="CV318" s="259"/>
      <c r="CW318" s="259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259"/>
      <c r="BP319" s="259"/>
      <c r="BQ319" s="259"/>
      <c r="BR319" s="259"/>
      <c r="BS319" s="259"/>
      <c r="BT319" s="259"/>
      <c r="BU319" s="259"/>
      <c r="BV319" s="259"/>
      <c r="BW319" s="259"/>
      <c r="BX319" s="259"/>
      <c r="BY319" s="259"/>
      <c r="BZ319" s="260"/>
      <c r="CA319" s="259"/>
      <c r="CB319" s="259"/>
      <c r="CC319" s="259"/>
      <c r="CD319" s="259"/>
      <c r="CE319" s="259"/>
      <c r="CF319" s="259"/>
      <c r="CG319" s="259"/>
      <c r="CH319" s="259"/>
      <c r="CI319" s="259"/>
      <c r="CJ319" s="259"/>
      <c r="CK319" s="259"/>
      <c r="CL319" s="259"/>
      <c r="CM319" s="259"/>
      <c r="CN319" s="259"/>
      <c r="CO319" s="259"/>
      <c r="CP319" s="259"/>
      <c r="CQ319" s="259"/>
      <c r="CR319" s="259"/>
      <c r="CS319" s="259"/>
      <c r="CT319" s="259"/>
      <c r="CU319" s="259"/>
      <c r="CV319" s="259"/>
      <c r="CW319" s="259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259"/>
      <c r="BP320" s="259"/>
      <c r="BQ320" s="259"/>
      <c r="BR320" s="259"/>
      <c r="BS320" s="259"/>
      <c r="BT320" s="259"/>
      <c r="BU320" s="259"/>
      <c r="BV320" s="259"/>
      <c r="BW320" s="259"/>
      <c r="BX320" s="259"/>
      <c r="BY320" s="259"/>
      <c r="BZ320" s="260"/>
      <c r="CA320" s="259"/>
      <c r="CB320" s="259"/>
      <c r="CC320" s="259"/>
      <c r="CD320" s="259"/>
      <c r="CE320" s="259"/>
      <c r="CF320" s="259"/>
      <c r="CG320" s="259"/>
      <c r="CH320" s="259"/>
      <c r="CI320" s="259"/>
      <c r="CJ320" s="259"/>
      <c r="CK320" s="259"/>
      <c r="CL320" s="259"/>
      <c r="CM320" s="259"/>
      <c r="CN320" s="259"/>
      <c r="CO320" s="259"/>
      <c r="CP320" s="259"/>
      <c r="CQ320" s="259"/>
      <c r="CR320" s="259"/>
      <c r="CS320" s="259"/>
      <c r="CT320" s="259"/>
      <c r="CU320" s="259"/>
      <c r="CV320" s="259"/>
      <c r="CW320" s="259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259"/>
      <c r="BP321" s="259"/>
      <c r="BQ321" s="259"/>
      <c r="BR321" s="259"/>
      <c r="BS321" s="259"/>
      <c r="BT321" s="259"/>
      <c r="BU321" s="259"/>
      <c r="BV321" s="259"/>
      <c r="BW321" s="259"/>
      <c r="BX321" s="259"/>
      <c r="BY321" s="259"/>
      <c r="BZ321" s="260"/>
      <c r="CA321" s="259"/>
      <c r="CB321" s="259"/>
      <c r="CC321" s="259"/>
      <c r="CD321" s="259"/>
      <c r="CE321" s="259"/>
      <c r="CF321" s="259"/>
      <c r="CG321" s="259"/>
      <c r="CH321" s="259"/>
      <c r="CI321" s="259"/>
      <c r="CJ321" s="259"/>
      <c r="CK321" s="259"/>
      <c r="CL321" s="259"/>
      <c r="CM321" s="259"/>
      <c r="CN321" s="259"/>
      <c r="CO321" s="259"/>
      <c r="CP321" s="259"/>
      <c r="CQ321" s="259"/>
      <c r="CR321" s="259"/>
      <c r="CS321" s="259"/>
      <c r="CT321" s="259"/>
      <c r="CU321" s="259"/>
      <c r="CV321" s="259"/>
      <c r="CW321" s="259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259"/>
      <c r="BP322" s="259"/>
      <c r="BQ322" s="259"/>
      <c r="BR322" s="259"/>
      <c r="BS322" s="259"/>
      <c r="BT322" s="259"/>
      <c r="BU322" s="259"/>
      <c r="BV322" s="259"/>
      <c r="BW322" s="259"/>
      <c r="BX322" s="259"/>
      <c r="BY322" s="259"/>
      <c r="BZ322" s="260"/>
      <c r="CA322" s="259"/>
      <c r="CB322" s="259"/>
      <c r="CC322" s="259"/>
      <c r="CD322" s="259"/>
      <c r="CE322" s="259"/>
      <c r="CF322" s="259"/>
      <c r="CG322" s="259"/>
      <c r="CH322" s="259"/>
      <c r="CI322" s="259"/>
      <c r="CJ322" s="259"/>
      <c r="CK322" s="259"/>
      <c r="CL322" s="259"/>
      <c r="CM322" s="259"/>
      <c r="CN322" s="259"/>
      <c r="CO322" s="259"/>
      <c r="CP322" s="259"/>
      <c r="CQ322" s="259"/>
      <c r="CR322" s="259"/>
      <c r="CS322" s="259"/>
      <c r="CT322" s="259"/>
      <c r="CU322" s="259"/>
      <c r="CV322" s="259"/>
      <c r="CW322" s="259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259"/>
      <c r="BP323" s="259"/>
      <c r="BQ323" s="259"/>
      <c r="BR323" s="259"/>
      <c r="BS323" s="259"/>
      <c r="BT323" s="259"/>
      <c r="BU323" s="259"/>
      <c r="BV323" s="259"/>
      <c r="BW323" s="259"/>
      <c r="BX323" s="259"/>
      <c r="BY323" s="259"/>
      <c r="BZ323" s="260"/>
      <c r="CA323" s="259"/>
      <c r="CB323" s="259"/>
      <c r="CC323" s="259"/>
      <c r="CD323" s="259"/>
      <c r="CE323" s="259"/>
      <c r="CF323" s="259"/>
      <c r="CG323" s="259"/>
      <c r="CH323" s="259"/>
      <c r="CI323" s="259"/>
      <c r="CJ323" s="259"/>
      <c r="CK323" s="259"/>
      <c r="CL323" s="259"/>
      <c r="CM323" s="259"/>
      <c r="CN323" s="259"/>
      <c r="CO323" s="259"/>
      <c r="CP323" s="259"/>
      <c r="CQ323" s="259"/>
      <c r="CR323" s="259"/>
      <c r="CS323" s="259"/>
      <c r="CT323" s="259"/>
      <c r="CU323" s="259"/>
      <c r="CV323" s="259"/>
      <c r="CW323" s="259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259"/>
      <c r="BP324" s="259"/>
      <c r="BQ324" s="259"/>
      <c r="BR324" s="259"/>
      <c r="BS324" s="259"/>
      <c r="BT324" s="259"/>
      <c r="BU324" s="259"/>
      <c r="BV324" s="259"/>
      <c r="BW324" s="259"/>
      <c r="BX324" s="259"/>
      <c r="BY324" s="259"/>
      <c r="BZ324" s="260"/>
      <c r="CA324" s="259"/>
      <c r="CB324" s="259"/>
      <c r="CC324" s="259"/>
      <c r="CD324" s="259"/>
      <c r="CE324" s="259"/>
      <c r="CF324" s="259"/>
      <c r="CG324" s="259"/>
      <c r="CH324" s="259"/>
      <c r="CI324" s="259"/>
      <c r="CJ324" s="259"/>
      <c r="CK324" s="259"/>
      <c r="CL324" s="259"/>
      <c r="CM324" s="259"/>
      <c r="CN324" s="259"/>
      <c r="CO324" s="259"/>
      <c r="CP324" s="259"/>
      <c r="CQ324" s="259"/>
      <c r="CR324" s="259"/>
      <c r="CS324" s="259"/>
      <c r="CT324" s="259"/>
      <c r="CU324" s="259"/>
      <c r="CV324" s="259"/>
      <c r="CW324" s="259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259"/>
      <c r="BP325" s="259"/>
      <c r="BQ325" s="259"/>
      <c r="BR325" s="259"/>
      <c r="BS325" s="259"/>
      <c r="BT325" s="259"/>
      <c r="BU325" s="259"/>
      <c r="BV325" s="259"/>
      <c r="BW325" s="259"/>
      <c r="BX325" s="259"/>
      <c r="BY325" s="259"/>
      <c r="BZ325" s="260"/>
      <c r="CA325" s="259"/>
      <c r="CB325" s="259"/>
      <c r="CC325" s="259"/>
      <c r="CD325" s="259"/>
      <c r="CE325" s="259"/>
      <c r="CF325" s="259"/>
      <c r="CG325" s="259"/>
      <c r="CH325" s="259"/>
      <c r="CI325" s="259"/>
      <c r="CJ325" s="259"/>
      <c r="CK325" s="259"/>
      <c r="CL325" s="259"/>
      <c r="CM325" s="259"/>
      <c r="CN325" s="259"/>
      <c r="CO325" s="259"/>
      <c r="CP325" s="259"/>
      <c r="CQ325" s="259"/>
      <c r="CR325" s="259"/>
      <c r="CS325" s="259"/>
      <c r="CT325" s="259"/>
      <c r="CU325" s="259"/>
      <c r="CV325" s="259"/>
      <c r="CW325" s="259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259"/>
      <c r="BP326" s="259"/>
      <c r="BQ326" s="259"/>
      <c r="BR326" s="259"/>
      <c r="BS326" s="259"/>
      <c r="BT326" s="259"/>
      <c r="BU326" s="259"/>
      <c r="BV326" s="259"/>
      <c r="BW326" s="259"/>
      <c r="BX326" s="259"/>
      <c r="BY326" s="259"/>
      <c r="BZ326" s="260"/>
      <c r="CA326" s="259"/>
      <c r="CB326" s="259"/>
      <c r="CC326" s="259"/>
      <c r="CD326" s="259"/>
      <c r="CE326" s="259"/>
      <c r="CF326" s="259"/>
      <c r="CG326" s="259"/>
      <c r="CH326" s="259"/>
      <c r="CI326" s="259"/>
      <c r="CJ326" s="259"/>
      <c r="CK326" s="259"/>
      <c r="CL326" s="259"/>
      <c r="CM326" s="259"/>
      <c r="CN326" s="259"/>
      <c r="CO326" s="259"/>
      <c r="CP326" s="259"/>
      <c r="CQ326" s="259"/>
      <c r="CR326" s="259"/>
      <c r="CS326" s="259"/>
      <c r="CT326" s="259"/>
      <c r="CU326" s="259"/>
      <c r="CV326" s="259"/>
      <c r="CW326" s="259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259"/>
      <c r="BP327" s="259"/>
      <c r="BQ327" s="259"/>
      <c r="BR327" s="259"/>
      <c r="BS327" s="259"/>
      <c r="BT327" s="259"/>
      <c r="BU327" s="259"/>
      <c r="BV327" s="259"/>
      <c r="BW327" s="259"/>
      <c r="BX327" s="259"/>
      <c r="BY327" s="259"/>
      <c r="BZ327" s="260"/>
      <c r="CA327" s="259"/>
      <c r="CB327" s="259"/>
      <c r="CC327" s="259"/>
      <c r="CD327" s="259"/>
      <c r="CE327" s="259"/>
      <c r="CF327" s="259"/>
      <c r="CG327" s="259"/>
      <c r="CH327" s="259"/>
      <c r="CI327" s="259"/>
      <c r="CJ327" s="259"/>
      <c r="CK327" s="259"/>
      <c r="CL327" s="259"/>
      <c r="CM327" s="259"/>
      <c r="CN327" s="259"/>
      <c r="CO327" s="259"/>
      <c r="CP327" s="259"/>
      <c r="CQ327" s="259"/>
      <c r="CR327" s="259"/>
      <c r="CS327" s="259"/>
      <c r="CT327" s="259"/>
      <c r="CU327" s="259"/>
      <c r="CV327" s="259"/>
      <c r="CW327" s="259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259"/>
      <c r="BP328" s="259"/>
      <c r="BQ328" s="259"/>
      <c r="BR328" s="259"/>
      <c r="BS328" s="259"/>
      <c r="BT328" s="259"/>
      <c r="BU328" s="259"/>
      <c r="BV328" s="259"/>
      <c r="BW328" s="259"/>
      <c r="BX328" s="259"/>
      <c r="BY328" s="259"/>
      <c r="BZ328" s="260"/>
      <c r="CA328" s="259"/>
      <c r="CB328" s="259"/>
      <c r="CC328" s="259"/>
      <c r="CD328" s="259"/>
      <c r="CE328" s="259"/>
      <c r="CF328" s="259"/>
      <c r="CG328" s="259"/>
      <c r="CH328" s="259"/>
      <c r="CI328" s="259"/>
      <c r="CJ328" s="259"/>
      <c r="CK328" s="259"/>
      <c r="CL328" s="259"/>
      <c r="CM328" s="259"/>
      <c r="CN328" s="259"/>
      <c r="CO328" s="259"/>
      <c r="CP328" s="259"/>
      <c r="CQ328" s="259"/>
      <c r="CR328" s="259"/>
      <c r="CS328" s="259"/>
      <c r="CT328" s="259"/>
      <c r="CU328" s="259"/>
      <c r="CV328" s="259"/>
      <c r="CW328" s="259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259"/>
      <c r="BP329" s="259"/>
      <c r="BQ329" s="259"/>
      <c r="BR329" s="259"/>
      <c r="BS329" s="259"/>
      <c r="BT329" s="259"/>
      <c r="BU329" s="259"/>
      <c r="BV329" s="259"/>
      <c r="BW329" s="259"/>
      <c r="BX329" s="259"/>
      <c r="BY329" s="259"/>
      <c r="BZ329" s="260"/>
      <c r="CA329" s="259"/>
      <c r="CB329" s="259"/>
      <c r="CC329" s="259"/>
      <c r="CD329" s="259"/>
      <c r="CE329" s="259"/>
      <c r="CF329" s="259"/>
      <c r="CG329" s="259"/>
      <c r="CH329" s="259"/>
      <c r="CI329" s="259"/>
      <c r="CJ329" s="259"/>
      <c r="CK329" s="259"/>
      <c r="CL329" s="259"/>
      <c r="CM329" s="259"/>
      <c r="CN329" s="259"/>
      <c r="CO329" s="259"/>
      <c r="CP329" s="259"/>
      <c r="CQ329" s="259"/>
      <c r="CR329" s="259"/>
      <c r="CS329" s="259"/>
      <c r="CT329" s="259"/>
      <c r="CU329" s="259"/>
      <c r="CV329" s="259"/>
      <c r="CW329" s="259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259"/>
      <c r="BP330" s="259"/>
      <c r="BQ330" s="259"/>
      <c r="BR330" s="259"/>
      <c r="BS330" s="259"/>
      <c r="BT330" s="259"/>
      <c r="BU330" s="259"/>
      <c r="BV330" s="259"/>
      <c r="BW330" s="259"/>
      <c r="BX330" s="259"/>
      <c r="BY330" s="259"/>
      <c r="BZ330" s="260"/>
      <c r="CA330" s="259"/>
      <c r="CB330" s="259"/>
      <c r="CC330" s="259"/>
      <c r="CD330" s="259"/>
      <c r="CE330" s="259"/>
      <c r="CF330" s="259"/>
      <c r="CG330" s="259"/>
      <c r="CH330" s="259"/>
      <c r="CI330" s="259"/>
      <c r="CJ330" s="259"/>
      <c r="CK330" s="259"/>
      <c r="CL330" s="259"/>
      <c r="CM330" s="259"/>
      <c r="CN330" s="259"/>
      <c r="CO330" s="259"/>
      <c r="CP330" s="259"/>
      <c r="CQ330" s="259"/>
      <c r="CR330" s="259"/>
      <c r="CS330" s="259"/>
      <c r="CT330" s="259"/>
      <c r="CU330" s="259"/>
      <c r="CV330" s="259"/>
      <c r="CW330" s="259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259"/>
      <c r="BP331" s="259"/>
      <c r="BQ331" s="259"/>
      <c r="BR331" s="259"/>
      <c r="BS331" s="259"/>
      <c r="BT331" s="259"/>
      <c r="BU331" s="259"/>
      <c r="BV331" s="259"/>
      <c r="BW331" s="259"/>
      <c r="BX331" s="259"/>
      <c r="BY331" s="259"/>
      <c r="BZ331" s="260"/>
      <c r="CA331" s="259"/>
      <c r="CB331" s="259"/>
      <c r="CC331" s="259"/>
      <c r="CD331" s="259"/>
      <c r="CE331" s="259"/>
      <c r="CF331" s="259"/>
      <c r="CG331" s="259"/>
      <c r="CH331" s="259"/>
      <c r="CI331" s="259"/>
      <c r="CJ331" s="259"/>
      <c r="CK331" s="259"/>
      <c r="CL331" s="259"/>
      <c r="CM331" s="259"/>
      <c r="CN331" s="259"/>
      <c r="CO331" s="259"/>
      <c r="CP331" s="259"/>
      <c r="CQ331" s="259"/>
      <c r="CR331" s="259"/>
      <c r="CS331" s="259"/>
      <c r="CT331" s="259"/>
      <c r="CU331" s="259"/>
      <c r="CV331" s="259"/>
      <c r="CW331" s="259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259"/>
      <c r="BP332" s="259"/>
      <c r="BQ332" s="259"/>
      <c r="BR332" s="259"/>
      <c r="BS332" s="259"/>
      <c r="BT332" s="259"/>
      <c r="BU332" s="259"/>
      <c r="BV332" s="259"/>
      <c r="BW332" s="259"/>
      <c r="BX332" s="259"/>
      <c r="BY332" s="259"/>
      <c r="BZ332" s="260"/>
      <c r="CA332" s="259"/>
      <c r="CB332" s="259"/>
      <c r="CC332" s="259"/>
      <c r="CD332" s="259"/>
      <c r="CE332" s="259"/>
      <c r="CF332" s="259"/>
      <c r="CG332" s="259"/>
      <c r="CH332" s="259"/>
      <c r="CI332" s="259"/>
      <c r="CJ332" s="259"/>
      <c r="CK332" s="259"/>
      <c r="CL332" s="259"/>
      <c r="CM332" s="259"/>
      <c r="CN332" s="259"/>
      <c r="CO332" s="259"/>
      <c r="CP332" s="259"/>
      <c r="CQ332" s="259"/>
      <c r="CR332" s="259"/>
      <c r="CS332" s="259"/>
      <c r="CT332" s="259"/>
      <c r="CU332" s="259"/>
      <c r="CV332" s="259"/>
      <c r="CW332" s="259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259"/>
      <c r="BP333" s="259"/>
      <c r="BQ333" s="259"/>
      <c r="BR333" s="259"/>
      <c r="BS333" s="259"/>
      <c r="BT333" s="259"/>
      <c r="BU333" s="259"/>
      <c r="BV333" s="259"/>
      <c r="BW333" s="259"/>
      <c r="BX333" s="259"/>
      <c r="BY333" s="259"/>
      <c r="BZ333" s="260"/>
      <c r="CA333" s="259"/>
      <c r="CB333" s="259"/>
      <c r="CC333" s="259"/>
      <c r="CD333" s="259"/>
      <c r="CE333" s="259"/>
      <c r="CF333" s="259"/>
      <c r="CG333" s="259"/>
      <c r="CH333" s="259"/>
      <c r="CI333" s="259"/>
      <c r="CJ333" s="259"/>
      <c r="CK333" s="259"/>
      <c r="CL333" s="259"/>
      <c r="CM333" s="259"/>
      <c r="CN333" s="259"/>
      <c r="CO333" s="259"/>
      <c r="CP333" s="259"/>
      <c r="CQ333" s="259"/>
      <c r="CR333" s="259"/>
      <c r="CS333" s="259"/>
      <c r="CT333" s="259"/>
      <c r="CU333" s="259"/>
      <c r="CV333" s="259"/>
      <c r="CW333" s="259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259"/>
      <c r="BP334" s="259"/>
      <c r="BQ334" s="259"/>
      <c r="BR334" s="259"/>
      <c r="BS334" s="259"/>
      <c r="BT334" s="259"/>
      <c r="BU334" s="259"/>
      <c r="BV334" s="259"/>
      <c r="BW334" s="259"/>
      <c r="BX334" s="259"/>
      <c r="BY334" s="259"/>
      <c r="BZ334" s="260"/>
      <c r="CA334" s="259"/>
      <c r="CB334" s="259"/>
      <c r="CC334" s="259"/>
      <c r="CD334" s="259"/>
      <c r="CE334" s="259"/>
      <c r="CF334" s="259"/>
      <c r="CG334" s="259"/>
      <c r="CH334" s="259"/>
      <c r="CI334" s="259"/>
      <c r="CJ334" s="259"/>
      <c r="CK334" s="259"/>
      <c r="CL334" s="259"/>
      <c r="CM334" s="259"/>
      <c r="CN334" s="259"/>
      <c r="CO334" s="259"/>
      <c r="CP334" s="259"/>
      <c r="CQ334" s="259"/>
      <c r="CR334" s="259"/>
      <c r="CS334" s="259"/>
      <c r="CT334" s="259"/>
      <c r="CU334" s="259"/>
      <c r="CV334" s="259"/>
      <c r="CW334" s="259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259"/>
      <c r="BP335" s="259"/>
      <c r="BQ335" s="259"/>
      <c r="BR335" s="259"/>
      <c r="BS335" s="259"/>
      <c r="BT335" s="259"/>
      <c r="BU335" s="259"/>
      <c r="BV335" s="259"/>
      <c r="BW335" s="259"/>
      <c r="BX335" s="259"/>
      <c r="BY335" s="259"/>
      <c r="BZ335" s="260"/>
      <c r="CA335" s="259"/>
      <c r="CB335" s="259"/>
      <c r="CC335" s="259"/>
      <c r="CD335" s="259"/>
      <c r="CE335" s="259"/>
      <c r="CF335" s="259"/>
      <c r="CG335" s="259"/>
      <c r="CH335" s="259"/>
      <c r="CI335" s="259"/>
      <c r="CJ335" s="259"/>
      <c r="CK335" s="259"/>
      <c r="CL335" s="259"/>
      <c r="CM335" s="259"/>
      <c r="CN335" s="259"/>
      <c r="CO335" s="259"/>
      <c r="CP335" s="259"/>
      <c r="CQ335" s="259"/>
      <c r="CR335" s="259"/>
      <c r="CS335" s="259"/>
      <c r="CT335" s="259"/>
      <c r="CU335" s="259"/>
      <c r="CV335" s="259"/>
      <c r="CW335" s="259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259"/>
      <c r="BP336" s="259"/>
      <c r="BQ336" s="259"/>
      <c r="BR336" s="259"/>
      <c r="BS336" s="259"/>
      <c r="BT336" s="259"/>
      <c r="BU336" s="259"/>
      <c r="BV336" s="259"/>
      <c r="BW336" s="259"/>
      <c r="BX336" s="259"/>
      <c r="BY336" s="259"/>
      <c r="BZ336" s="260"/>
      <c r="CA336" s="259"/>
      <c r="CB336" s="259"/>
      <c r="CC336" s="259"/>
      <c r="CD336" s="259"/>
      <c r="CE336" s="259"/>
      <c r="CF336" s="259"/>
      <c r="CG336" s="259"/>
      <c r="CH336" s="259"/>
      <c r="CI336" s="259"/>
      <c r="CJ336" s="259"/>
      <c r="CK336" s="259"/>
      <c r="CL336" s="259"/>
      <c r="CM336" s="259"/>
      <c r="CN336" s="259"/>
      <c r="CO336" s="259"/>
      <c r="CP336" s="259"/>
      <c r="CQ336" s="259"/>
      <c r="CR336" s="259"/>
      <c r="CS336" s="259"/>
      <c r="CT336" s="259"/>
      <c r="CU336" s="259"/>
      <c r="CV336" s="259"/>
      <c r="CW336" s="259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259"/>
      <c r="BP337" s="259"/>
      <c r="BQ337" s="259"/>
      <c r="BR337" s="259"/>
      <c r="BS337" s="259"/>
      <c r="BT337" s="259"/>
      <c r="BU337" s="259"/>
      <c r="BV337" s="259"/>
      <c r="BW337" s="259"/>
      <c r="BX337" s="259"/>
      <c r="BY337" s="259"/>
      <c r="BZ337" s="260"/>
      <c r="CA337" s="259"/>
      <c r="CB337" s="259"/>
      <c r="CC337" s="259"/>
      <c r="CD337" s="259"/>
      <c r="CE337" s="259"/>
      <c r="CF337" s="259"/>
      <c r="CG337" s="259"/>
      <c r="CH337" s="259"/>
      <c r="CI337" s="259"/>
      <c r="CJ337" s="259"/>
      <c r="CK337" s="259"/>
      <c r="CL337" s="259"/>
      <c r="CM337" s="259"/>
      <c r="CN337" s="259"/>
      <c r="CO337" s="259"/>
      <c r="CP337" s="259"/>
      <c r="CQ337" s="259"/>
      <c r="CR337" s="259"/>
      <c r="CS337" s="259"/>
      <c r="CT337" s="259"/>
      <c r="CU337" s="259"/>
      <c r="CV337" s="259"/>
      <c r="CW337" s="259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259"/>
      <c r="BP338" s="259"/>
      <c r="BQ338" s="259"/>
      <c r="BR338" s="259"/>
      <c r="BS338" s="259"/>
      <c r="BT338" s="259"/>
      <c r="BU338" s="259"/>
      <c r="BV338" s="259"/>
      <c r="BW338" s="259"/>
      <c r="BX338" s="259"/>
      <c r="BY338" s="259"/>
      <c r="BZ338" s="260"/>
      <c r="CA338" s="259"/>
      <c r="CB338" s="259"/>
      <c r="CC338" s="259"/>
      <c r="CD338" s="259"/>
      <c r="CE338" s="259"/>
      <c r="CF338" s="259"/>
      <c r="CG338" s="259"/>
      <c r="CH338" s="259"/>
      <c r="CI338" s="259"/>
      <c r="CJ338" s="259"/>
      <c r="CK338" s="259"/>
      <c r="CL338" s="259"/>
      <c r="CM338" s="259"/>
      <c r="CN338" s="259"/>
      <c r="CO338" s="259"/>
      <c r="CP338" s="259"/>
      <c r="CQ338" s="259"/>
      <c r="CR338" s="259"/>
      <c r="CS338" s="259"/>
      <c r="CT338" s="259"/>
      <c r="CU338" s="259"/>
      <c r="CV338" s="259"/>
      <c r="CW338" s="259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259"/>
      <c r="BP339" s="259"/>
      <c r="BQ339" s="259"/>
      <c r="BR339" s="259"/>
      <c r="BS339" s="259"/>
      <c r="BT339" s="259"/>
      <c r="BU339" s="259"/>
      <c r="BV339" s="259"/>
      <c r="BW339" s="259"/>
      <c r="BX339" s="259"/>
      <c r="BY339" s="259"/>
      <c r="BZ339" s="260"/>
      <c r="CA339" s="259"/>
      <c r="CB339" s="259"/>
      <c r="CC339" s="259"/>
      <c r="CD339" s="259"/>
      <c r="CE339" s="259"/>
      <c r="CF339" s="259"/>
      <c r="CG339" s="259"/>
      <c r="CH339" s="259"/>
      <c r="CI339" s="259"/>
      <c r="CJ339" s="259"/>
      <c r="CK339" s="259"/>
      <c r="CL339" s="259"/>
      <c r="CM339" s="259"/>
      <c r="CN339" s="259"/>
      <c r="CO339" s="259"/>
      <c r="CP339" s="259"/>
      <c r="CQ339" s="259"/>
      <c r="CR339" s="259"/>
      <c r="CS339" s="259"/>
      <c r="CT339" s="259"/>
      <c r="CU339" s="259"/>
      <c r="CV339" s="259"/>
      <c r="CW339" s="259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259"/>
      <c r="BP340" s="259"/>
      <c r="BQ340" s="259"/>
      <c r="BR340" s="259"/>
      <c r="BS340" s="259"/>
      <c r="BT340" s="259"/>
      <c r="BU340" s="259"/>
      <c r="BV340" s="259"/>
      <c r="BW340" s="259"/>
      <c r="BX340" s="259"/>
      <c r="BY340" s="259"/>
      <c r="BZ340" s="260"/>
      <c r="CA340" s="259"/>
      <c r="CB340" s="259"/>
      <c r="CC340" s="259"/>
      <c r="CD340" s="259"/>
      <c r="CE340" s="259"/>
      <c r="CF340" s="259"/>
      <c r="CG340" s="259"/>
      <c r="CH340" s="259"/>
      <c r="CI340" s="259"/>
      <c r="CJ340" s="259"/>
      <c r="CK340" s="259"/>
      <c r="CL340" s="259"/>
      <c r="CM340" s="259"/>
      <c r="CN340" s="259"/>
      <c r="CO340" s="259"/>
      <c r="CP340" s="259"/>
      <c r="CQ340" s="259"/>
      <c r="CR340" s="259"/>
      <c r="CS340" s="259"/>
      <c r="CT340" s="259"/>
      <c r="CU340" s="259"/>
      <c r="CV340" s="259"/>
      <c r="CW340" s="259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259"/>
      <c r="BP341" s="259"/>
      <c r="BQ341" s="259"/>
      <c r="BR341" s="259"/>
      <c r="BS341" s="259"/>
      <c r="BT341" s="259"/>
      <c r="BU341" s="259"/>
      <c r="BV341" s="259"/>
      <c r="BW341" s="259"/>
      <c r="BX341" s="259"/>
      <c r="BY341" s="259"/>
      <c r="BZ341" s="260"/>
      <c r="CA341" s="259"/>
      <c r="CB341" s="259"/>
      <c r="CC341" s="259"/>
      <c r="CD341" s="259"/>
      <c r="CE341" s="259"/>
      <c r="CF341" s="259"/>
      <c r="CG341" s="259"/>
      <c r="CH341" s="259"/>
      <c r="CI341" s="259"/>
      <c r="CJ341" s="259"/>
      <c r="CK341" s="259"/>
      <c r="CL341" s="259"/>
      <c r="CM341" s="259"/>
      <c r="CN341" s="259"/>
      <c r="CO341" s="259"/>
      <c r="CP341" s="259"/>
      <c r="CQ341" s="259"/>
      <c r="CR341" s="259"/>
      <c r="CS341" s="259"/>
      <c r="CT341" s="259"/>
      <c r="CU341" s="259"/>
      <c r="CV341" s="259"/>
      <c r="CW341" s="259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259"/>
      <c r="BP342" s="259"/>
      <c r="BQ342" s="259"/>
      <c r="BR342" s="259"/>
      <c r="BS342" s="259"/>
      <c r="BT342" s="259"/>
      <c r="BU342" s="259"/>
      <c r="BV342" s="259"/>
      <c r="BW342" s="259"/>
      <c r="BX342" s="259"/>
      <c r="BY342" s="259"/>
      <c r="BZ342" s="260"/>
      <c r="CA342" s="259"/>
      <c r="CB342" s="259"/>
      <c r="CC342" s="259"/>
      <c r="CD342" s="259"/>
      <c r="CE342" s="259"/>
      <c r="CF342" s="259"/>
      <c r="CG342" s="259"/>
      <c r="CH342" s="259"/>
      <c r="CI342" s="259"/>
      <c r="CJ342" s="259"/>
      <c r="CK342" s="259"/>
      <c r="CL342" s="259"/>
      <c r="CM342" s="259"/>
      <c r="CN342" s="259"/>
      <c r="CO342" s="259"/>
      <c r="CP342" s="259"/>
      <c r="CQ342" s="259"/>
      <c r="CR342" s="259"/>
      <c r="CS342" s="259"/>
      <c r="CT342" s="259"/>
      <c r="CU342" s="259"/>
      <c r="CV342" s="259"/>
      <c r="CW342" s="259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259"/>
      <c r="BP343" s="259"/>
      <c r="BQ343" s="259"/>
      <c r="BR343" s="259"/>
      <c r="BS343" s="259"/>
      <c r="BT343" s="259"/>
      <c r="BU343" s="259"/>
      <c r="BV343" s="259"/>
      <c r="BW343" s="259"/>
      <c r="BX343" s="259"/>
      <c r="BY343" s="259"/>
      <c r="BZ343" s="260"/>
      <c r="CA343" s="259"/>
      <c r="CB343" s="259"/>
      <c r="CC343" s="259"/>
      <c r="CD343" s="259"/>
      <c r="CE343" s="259"/>
      <c r="CF343" s="259"/>
      <c r="CG343" s="259"/>
      <c r="CH343" s="259"/>
      <c r="CI343" s="259"/>
      <c r="CJ343" s="259"/>
      <c r="CK343" s="259"/>
      <c r="CL343" s="259"/>
      <c r="CM343" s="259"/>
      <c r="CN343" s="259"/>
      <c r="CO343" s="259"/>
      <c r="CP343" s="259"/>
      <c r="CQ343" s="259"/>
      <c r="CR343" s="259"/>
      <c r="CS343" s="259"/>
      <c r="CT343" s="259"/>
      <c r="CU343" s="259"/>
      <c r="CV343" s="259"/>
      <c r="CW343" s="259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259"/>
      <c r="BP344" s="259"/>
      <c r="BQ344" s="259"/>
      <c r="BR344" s="259"/>
      <c r="BS344" s="259"/>
      <c r="BT344" s="259"/>
      <c r="BU344" s="259"/>
      <c r="BV344" s="259"/>
      <c r="BW344" s="259"/>
      <c r="BX344" s="259"/>
      <c r="BY344" s="259"/>
      <c r="BZ344" s="260"/>
      <c r="CA344" s="259"/>
      <c r="CB344" s="259"/>
      <c r="CC344" s="259"/>
      <c r="CD344" s="259"/>
      <c r="CE344" s="259"/>
      <c r="CF344" s="259"/>
      <c r="CG344" s="259"/>
      <c r="CH344" s="259"/>
      <c r="CI344" s="259"/>
      <c r="CJ344" s="259"/>
      <c r="CK344" s="259"/>
      <c r="CL344" s="259"/>
      <c r="CM344" s="259"/>
      <c r="CN344" s="259"/>
      <c r="CO344" s="259"/>
      <c r="CP344" s="259"/>
      <c r="CQ344" s="259"/>
      <c r="CR344" s="259"/>
      <c r="CS344" s="259"/>
      <c r="CT344" s="259"/>
      <c r="CU344" s="259"/>
      <c r="CV344" s="259"/>
      <c r="CW344" s="259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259"/>
      <c r="BP345" s="259"/>
      <c r="BQ345" s="259"/>
      <c r="BR345" s="259"/>
      <c r="BS345" s="259"/>
      <c r="BT345" s="259"/>
      <c r="BU345" s="259"/>
      <c r="BV345" s="259"/>
      <c r="BW345" s="259"/>
      <c r="BX345" s="259"/>
      <c r="BY345" s="259"/>
      <c r="BZ345" s="260"/>
      <c r="CA345" s="259"/>
      <c r="CB345" s="259"/>
      <c r="CC345" s="259"/>
      <c r="CD345" s="259"/>
      <c r="CE345" s="259"/>
      <c r="CF345" s="259"/>
      <c r="CG345" s="259"/>
      <c r="CH345" s="259"/>
      <c r="CI345" s="259"/>
      <c r="CJ345" s="259"/>
      <c r="CK345" s="259"/>
      <c r="CL345" s="259"/>
      <c r="CM345" s="259"/>
      <c r="CN345" s="259"/>
      <c r="CO345" s="259"/>
      <c r="CP345" s="259"/>
      <c r="CQ345" s="259"/>
      <c r="CR345" s="259"/>
      <c r="CS345" s="259"/>
      <c r="CT345" s="259"/>
      <c r="CU345" s="259"/>
      <c r="CV345" s="259"/>
      <c r="CW345" s="259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259"/>
      <c r="BP346" s="259"/>
      <c r="BQ346" s="259"/>
      <c r="BR346" s="259"/>
      <c r="BS346" s="259"/>
      <c r="BT346" s="259"/>
      <c r="BU346" s="259"/>
      <c r="BV346" s="259"/>
      <c r="BW346" s="259"/>
      <c r="BX346" s="259"/>
      <c r="BY346" s="259"/>
      <c r="BZ346" s="260"/>
      <c r="CA346" s="259"/>
      <c r="CB346" s="259"/>
      <c r="CC346" s="259"/>
      <c r="CD346" s="259"/>
      <c r="CE346" s="259"/>
      <c r="CF346" s="259"/>
      <c r="CG346" s="259"/>
      <c r="CH346" s="259"/>
      <c r="CI346" s="259"/>
      <c r="CJ346" s="259"/>
      <c r="CK346" s="259"/>
      <c r="CL346" s="259"/>
      <c r="CM346" s="259"/>
      <c r="CN346" s="259"/>
      <c r="CO346" s="259"/>
      <c r="CP346" s="259"/>
      <c r="CQ346" s="259"/>
      <c r="CR346" s="259"/>
      <c r="CS346" s="259"/>
      <c r="CT346" s="259"/>
      <c r="CU346" s="259"/>
      <c r="CV346" s="259"/>
      <c r="CW346" s="259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259"/>
      <c r="BP347" s="259"/>
      <c r="BQ347" s="259"/>
      <c r="BR347" s="259"/>
      <c r="BS347" s="259"/>
      <c r="BT347" s="259"/>
      <c r="BU347" s="259"/>
      <c r="BV347" s="259"/>
      <c r="BW347" s="259"/>
      <c r="BX347" s="259"/>
      <c r="BY347" s="259"/>
      <c r="BZ347" s="260"/>
      <c r="CA347" s="259"/>
      <c r="CB347" s="259"/>
      <c r="CC347" s="259"/>
      <c r="CD347" s="259"/>
      <c r="CE347" s="259"/>
      <c r="CF347" s="259"/>
      <c r="CG347" s="259"/>
      <c r="CH347" s="259"/>
      <c r="CI347" s="259"/>
      <c r="CJ347" s="259"/>
      <c r="CK347" s="259"/>
      <c r="CL347" s="259"/>
      <c r="CM347" s="259"/>
      <c r="CN347" s="259"/>
      <c r="CO347" s="259"/>
      <c r="CP347" s="259"/>
      <c r="CQ347" s="259"/>
      <c r="CR347" s="259"/>
      <c r="CS347" s="259"/>
      <c r="CT347" s="259"/>
      <c r="CU347" s="259"/>
      <c r="CV347" s="259"/>
      <c r="CW347" s="259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259"/>
      <c r="BP348" s="259"/>
      <c r="BQ348" s="259"/>
      <c r="BR348" s="259"/>
      <c r="BS348" s="259"/>
      <c r="BT348" s="259"/>
      <c r="BU348" s="259"/>
      <c r="BV348" s="259"/>
      <c r="BW348" s="259"/>
      <c r="BX348" s="259"/>
      <c r="BY348" s="259"/>
      <c r="BZ348" s="260"/>
      <c r="CA348" s="259"/>
      <c r="CB348" s="259"/>
      <c r="CC348" s="259"/>
      <c r="CD348" s="259"/>
      <c r="CE348" s="259"/>
      <c r="CF348" s="259"/>
      <c r="CG348" s="259"/>
      <c r="CH348" s="259"/>
      <c r="CI348" s="259"/>
      <c r="CJ348" s="259"/>
      <c r="CK348" s="259"/>
      <c r="CL348" s="259"/>
      <c r="CM348" s="259"/>
      <c r="CN348" s="259"/>
      <c r="CO348" s="259"/>
      <c r="CP348" s="259"/>
      <c r="CQ348" s="259"/>
      <c r="CR348" s="259"/>
      <c r="CS348" s="259"/>
      <c r="CT348" s="259"/>
      <c r="CU348" s="259"/>
      <c r="CV348" s="259"/>
      <c r="CW348" s="259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259"/>
      <c r="BP349" s="259"/>
      <c r="BQ349" s="259"/>
      <c r="BR349" s="259"/>
      <c r="BS349" s="259"/>
      <c r="BT349" s="259"/>
      <c r="BU349" s="259"/>
      <c r="BV349" s="259"/>
      <c r="BW349" s="259"/>
      <c r="BX349" s="259"/>
      <c r="BY349" s="259"/>
      <c r="BZ349" s="260"/>
      <c r="CA349" s="259"/>
      <c r="CB349" s="259"/>
      <c r="CC349" s="259"/>
      <c r="CD349" s="259"/>
      <c r="CE349" s="259"/>
      <c r="CF349" s="259"/>
      <c r="CG349" s="259"/>
      <c r="CH349" s="259"/>
      <c r="CI349" s="259"/>
      <c r="CJ349" s="259"/>
      <c r="CK349" s="259"/>
      <c r="CL349" s="259"/>
      <c r="CM349" s="259"/>
      <c r="CN349" s="259"/>
      <c r="CO349" s="259"/>
      <c r="CP349" s="259"/>
      <c r="CQ349" s="259"/>
      <c r="CR349" s="259"/>
      <c r="CS349" s="259"/>
      <c r="CT349" s="259"/>
      <c r="CU349" s="259"/>
      <c r="CV349" s="259"/>
      <c r="CW349" s="259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259"/>
      <c r="BP350" s="259"/>
      <c r="BQ350" s="259"/>
      <c r="BR350" s="259"/>
      <c r="BS350" s="259"/>
      <c r="BT350" s="259"/>
      <c r="BU350" s="259"/>
      <c r="BV350" s="259"/>
      <c r="BW350" s="259"/>
      <c r="BX350" s="259"/>
      <c r="BY350" s="259"/>
      <c r="BZ350" s="260"/>
      <c r="CA350" s="259"/>
      <c r="CB350" s="259"/>
      <c r="CC350" s="259"/>
      <c r="CD350" s="259"/>
      <c r="CE350" s="259"/>
      <c r="CF350" s="259"/>
      <c r="CG350" s="259"/>
      <c r="CH350" s="259"/>
      <c r="CI350" s="259"/>
      <c r="CJ350" s="259"/>
      <c r="CK350" s="259"/>
      <c r="CL350" s="259"/>
      <c r="CM350" s="259"/>
      <c r="CN350" s="259"/>
      <c r="CO350" s="259"/>
      <c r="CP350" s="259"/>
      <c r="CQ350" s="259"/>
      <c r="CR350" s="259"/>
      <c r="CS350" s="259"/>
      <c r="CT350" s="259"/>
      <c r="CU350" s="259"/>
      <c r="CV350" s="259"/>
      <c r="CW350" s="259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259"/>
      <c r="BP351" s="259"/>
      <c r="BQ351" s="259"/>
      <c r="BR351" s="259"/>
      <c r="BS351" s="259"/>
      <c r="BT351" s="259"/>
      <c r="BU351" s="259"/>
      <c r="BV351" s="259"/>
      <c r="BW351" s="259"/>
      <c r="BX351" s="259"/>
      <c r="BY351" s="259"/>
      <c r="BZ351" s="260"/>
      <c r="CA351" s="259"/>
      <c r="CB351" s="259"/>
      <c r="CC351" s="259"/>
      <c r="CD351" s="259"/>
      <c r="CE351" s="259"/>
      <c r="CF351" s="259"/>
      <c r="CG351" s="259"/>
      <c r="CH351" s="259"/>
      <c r="CI351" s="259"/>
      <c r="CJ351" s="259"/>
      <c r="CK351" s="259"/>
      <c r="CL351" s="259"/>
      <c r="CM351" s="259"/>
      <c r="CN351" s="259"/>
      <c r="CO351" s="259"/>
      <c r="CP351" s="259"/>
      <c r="CQ351" s="259"/>
      <c r="CR351" s="259"/>
      <c r="CS351" s="259"/>
      <c r="CT351" s="259"/>
      <c r="CU351" s="259"/>
      <c r="CV351" s="259"/>
      <c r="CW351" s="259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259"/>
      <c r="BP352" s="259"/>
      <c r="BQ352" s="259"/>
      <c r="BR352" s="259"/>
      <c r="BS352" s="259"/>
      <c r="BT352" s="259"/>
      <c r="BU352" s="259"/>
      <c r="BV352" s="259"/>
      <c r="BW352" s="259"/>
      <c r="BX352" s="259"/>
      <c r="BY352" s="259"/>
      <c r="BZ352" s="260"/>
      <c r="CA352" s="259"/>
      <c r="CB352" s="259"/>
      <c r="CC352" s="259"/>
      <c r="CD352" s="259"/>
      <c r="CE352" s="259"/>
      <c r="CF352" s="259"/>
      <c r="CG352" s="259"/>
      <c r="CH352" s="259"/>
      <c r="CI352" s="259"/>
      <c r="CJ352" s="259"/>
      <c r="CK352" s="259"/>
      <c r="CL352" s="259"/>
      <c r="CM352" s="259"/>
      <c r="CN352" s="259"/>
      <c r="CO352" s="259"/>
      <c r="CP352" s="259"/>
      <c r="CQ352" s="259"/>
      <c r="CR352" s="259"/>
      <c r="CS352" s="259"/>
      <c r="CT352" s="259"/>
      <c r="CU352" s="259"/>
      <c r="CV352" s="259"/>
      <c r="CW352" s="259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259"/>
      <c r="BP353" s="259"/>
      <c r="BQ353" s="259"/>
      <c r="BR353" s="259"/>
      <c r="BS353" s="259"/>
      <c r="BT353" s="259"/>
      <c r="BU353" s="259"/>
      <c r="BV353" s="259"/>
      <c r="BW353" s="259"/>
      <c r="BX353" s="259"/>
      <c r="BY353" s="259"/>
      <c r="BZ353" s="260"/>
      <c r="CA353" s="259"/>
      <c r="CB353" s="259"/>
      <c r="CC353" s="259"/>
      <c r="CD353" s="259"/>
      <c r="CE353" s="259"/>
      <c r="CF353" s="259"/>
      <c r="CG353" s="259"/>
      <c r="CH353" s="259"/>
      <c r="CI353" s="259"/>
      <c r="CJ353" s="259"/>
      <c r="CK353" s="259"/>
      <c r="CL353" s="259"/>
      <c r="CM353" s="259"/>
      <c r="CN353" s="259"/>
      <c r="CO353" s="259"/>
      <c r="CP353" s="259"/>
      <c r="CQ353" s="259"/>
      <c r="CR353" s="259"/>
      <c r="CS353" s="259"/>
      <c r="CT353" s="259"/>
      <c r="CU353" s="259"/>
      <c r="CV353" s="259"/>
      <c r="CW353" s="259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259"/>
      <c r="BP354" s="259"/>
      <c r="BQ354" s="259"/>
      <c r="BR354" s="259"/>
      <c r="BS354" s="259"/>
      <c r="BT354" s="259"/>
      <c r="BU354" s="259"/>
      <c r="BV354" s="259"/>
      <c r="BW354" s="259"/>
      <c r="BX354" s="259"/>
      <c r="BY354" s="259"/>
      <c r="BZ354" s="260"/>
      <c r="CA354" s="259"/>
      <c r="CB354" s="259"/>
      <c r="CC354" s="259"/>
      <c r="CD354" s="259"/>
      <c r="CE354" s="259"/>
      <c r="CF354" s="259"/>
      <c r="CG354" s="259"/>
      <c r="CH354" s="259"/>
      <c r="CI354" s="259"/>
      <c r="CJ354" s="259"/>
      <c r="CK354" s="259"/>
      <c r="CL354" s="259"/>
      <c r="CM354" s="259"/>
      <c r="CN354" s="259"/>
      <c r="CO354" s="259"/>
      <c r="CP354" s="259"/>
      <c r="CQ354" s="259"/>
      <c r="CR354" s="259"/>
      <c r="CS354" s="259"/>
      <c r="CT354" s="259"/>
      <c r="CU354" s="259"/>
      <c r="CV354" s="259"/>
      <c r="CW354" s="259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259"/>
      <c r="BP355" s="259"/>
      <c r="BQ355" s="259"/>
      <c r="BR355" s="259"/>
      <c r="BS355" s="259"/>
      <c r="BT355" s="259"/>
      <c r="BU355" s="259"/>
      <c r="BV355" s="259"/>
      <c r="BW355" s="259"/>
      <c r="BX355" s="259"/>
      <c r="BY355" s="259"/>
      <c r="BZ355" s="260"/>
      <c r="CA355" s="259"/>
      <c r="CB355" s="259"/>
      <c r="CC355" s="259"/>
      <c r="CD355" s="259"/>
      <c r="CE355" s="259"/>
      <c r="CF355" s="259"/>
      <c r="CG355" s="259"/>
      <c r="CH355" s="259"/>
      <c r="CI355" s="259"/>
      <c r="CJ355" s="259"/>
      <c r="CK355" s="259"/>
      <c r="CL355" s="259"/>
      <c r="CM355" s="259"/>
      <c r="CN355" s="259"/>
      <c r="CO355" s="259"/>
      <c r="CP355" s="259"/>
      <c r="CQ355" s="259"/>
      <c r="CR355" s="259"/>
      <c r="CS355" s="259"/>
      <c r="CT355" s="259"/>
      <c r="CU355" s="259"/>
      <c r="CV355" s="259"/>
      <c r="CW355" s="259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259"/>
      <c r="BP356" s="259"/>
      <c r="BQ356" s="259"/>
      <c r="BR356" s="259"/>
      <c r="BS356" s="259"/>
      <c r="BT356" s="259"/>
      <c r="BU356" s="259"/>
      <c r="BV356" s="259"/>
      <c r="BW356" s="259"/>
      <c r="BX356" s="259"/>
      <c r="BY356" s="259"/>
      <c r="BZ356" s="260"/>
      <c r="CA356" s="259"/>
      <c r="CB356" s="259"/>
      <c r="CC356" s="259"/>
      <c r="CD356" s="259"/>
      <c r="CE356" s="259"/>
      <c r="CF356" s="259"/>
      <c r="CG356" s="259"/>
      <c r="CH356" s="259"/>
      <c r="CI356" s="259"/>
      <c r="CJ356" s="259"/>
      <c r="CK356" s="259"/>
      <c r="CL356" s="259"/>
      <c r="CM356" s="259"/>
      <c r="CN356" s="259"/>
      <c r="CO356" s="259"/>
      <c r="CP356" s="259"/>
      <c r="CQ356" s="259"/>
      <c r="CR356" s="259"/>
      <c r="CS356" s="259"/>
      <c r="CT356" s="259"/>
      <c r="CU356" s="259"/>
      <c r="CV356" s="259"/>
      <c r="CW356" s="259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259"/>
      <c r="BP357" s="259"/>
      <c r="BQ357" s="259"/>
      <c r="BR357" s="259"/>
      <c r="BS357" s="259"/>
      <c r="BT357" s="259"/>
      <c r="BU357" s="259"/>
      <c r="BV357" s="259"/>
      <c r="BW357" s="259"/>
      <c r="BX357" s="259"/>
      <c r="BY357" s="259"/>
      <c r="BZ357" s="260"/>
      <c r="CA357" s="259"/>
      <c r="CB357" s="259"/>
      <c r="CC357" s="259"/>
      <c r="CD357" s="259"/>
      <c r="CE357" s="259"/>
      <c r="CF357" s="259"/>
      <c r="CG357" s="259"/>
      <c r="CH357" s="259"/>
      <c r="CI357" s="259"/>
      <c r="CJ357" s="259"/>
      <c r="CK357" s="259"/>
      <c r="CL357" s="259"/>
      <c r="CM357" s="259"/>
      <c r="CN357" s="259"/>
      <c r="CO357" s="259"/>
      <c r="CP357" s="259"/>
      <c r="CQ357" s="259"/>
      <c r="CR357" s="259"/>
      <c r="CS357" s="259"/>
      <c r="CT357" s="259"/>
      <c r="CU357" s="259"/>
      <c r="CV357" s="259"/>
      <c r="CW357" s="259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259"/>
      <c r="BP358" s="259"/>
      <c r="BQ358" s="259"/>
      <c r="BR358" s="259"/>
      <c r="BS358" s="259"/>
      <c r="BT358" s="259"/>
      <c r="BU358" s="259"/>
      <c r="BV358" s="259"/>
      <c r="BW358" s="259"/>
      <c r="BX358" s="259"/>
      <c r="BY358" s="259"/>
      <c r="BZ358" s="260"/>
      <c r="CA358" s="259"/>
      <c r="CB358" s="259"/>
      <c r="CC358" s="259"/>
      <c r="CD358" s="259"/>
      <c r="CE358" s="259"/>
      <c r="CF358" s="259"/>
      <c r="CG358" s="259"/>
      <c r="CH358" s="259"/>
      <c r="CI358" s="259"/>
      <c r="CJ358" s="259"/>
      <c r="CK358" s="259"/>
      <c r="CL358" s="259"/>
      <c r="CM358" s="259"/>
      <c r="CN358" s="259"/>
      <c r="CO358" s="259"/>
      <c r="CP358" s="259"/>
      <c r="CQ358" s="259"/>
      <c r="CR358" s="259"/>
      <c r="CS358" s="259"/>
      <c r="CT358" s="259"/>
      <c r="CU358" s="259"/>
      <c r="CV358" s="259"/>
      <c r="CW358" s="259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259"/>
      <c r="BP359" s="259"/>
      <c r="BQ359" s="259"/>
      <c r="BR359" s="259"/>
      <c r="BS359" s="259"/>
      <c r="BT359" s="259"/>
      <c r="BU359" s="259"/>
      <c r="BV359" s="259"/>
      <c r="BW359" s="259"/>
      <c r="BX359" s="259"/>
      <c r="BY359" s="259"/>
      <c r="BZ359" s="260"/>
      <c r="CA359" s="259"/>
      <c r="CB359" s="259"/>
      <c r="CC359" s="259"/>
      <c r="CD359" s="259"/>
      <c r="CE359" s="259"/>
      <c r="CF359" s="259"/>
      <c r="CG359" s="259"/>
      <c r="CH359" s="259"/>
      <c r="CI359" s="259"/>
      <c r="CJ359" s="259"/>
      <c r="CK359" s="259"/>
      <c r="CL359" s="259"/>
      <c r="CM359" s="259"/>
      <c r="CN359" s="259"/>
      <c r="CO359" s="259"/>
      <c r="CP359" s="259"/>
      <c r="CQ359" s="259"/>
      <c r="CR359" s="259"/>
      <c r="CS359" s="259"/>
      <c r="CT359" s="259"/>
      <c r="CU359" s="259"/>
      <c r="CV359" s="259"/>
      <c r="CW359" s="259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259"/>
      <c r="BP360" s="259"/>
      <c r="BQ360" s="259"/>
      <c r="BR360" s="259"/>
      <c r="BS360" s="259"/>
      <c r="BT360" s="259"/>
      <c r="BU360" s="259"/>
      <c r="BV360" s="259"/>
      <c r="BW360" s="259"/>
      <c r="BX360" s="259"/>
      <c r="BY360" s="259"/>
      <c r="BZ360" s="260"/>
      <c r="CA360" s="259"/>
      <c r="CB360" s="259"/>
      <c r="CC360" s="259"/>
      <c r="CD360" s="259"/>
      <c r="CE360" s="259"/>
      <c r="CF360" s="259"/>
      <c r="CG360" s="259"/>
      <c r="CH360" s="259"/>
      <c r="CI360" s="259"/>
      <c r="CJ360" s="259"/>
      <c r="CK360" s="259"/>
      <c r="CL360" s="259"/>
      <c r="CM360" s="259"/>
      <c r="CN360" s="259"/>
      <c r="CO360" s="259"/>
      <c r="CP360" s="259"/>
      <c r="CQ360" s="259"/>
      <c r="CR360" s="259"/>
      <c r="CS360" s="259"/>
      <c r="CT360" s="259"/>
      <c r="CU360" s="259"/>
      <c r="CV360" s="259"/>
      <c r="CW360" s="259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259"/>
      <c r="BP361" s="259"/>
      <c r="BQ361" s="259"/>
      <c r="BR361" s="259"/>
      <c r="BS361" s="259"/>
      <c r="BT361" s="259"/>
      <c r="BU361" s="259"/>
      <c r="BV361" s="259"/>
      <c r="BW361" s="259"/>
      <c r="BX361" s="259"/>
      <c r="BY361" s="259"/>
      <c r="BZ361" s="260"/>
      <c r="CA361" s="259"/>
      <c r="CB361" s="259"/>
      <c r="CC361" s="259"/>
      <c r="CD361" s="259"/>
      <c r="CE361" s="259"/>
      <c r="CF361" s="259"/>
      <c r="CG361" s="259"/>
      <c r="CH361" s="259"/>
      <c r="CI361" s="259"/>
      <c r="CJ361" s="259"/>
      <c r="CK361" s="259"/>
      <c r="CL361" s="259"/>
      <c r="CM361" s="259"/>
      <c r="CN361" s="259"/>
      <c r="CO361" s="259"/>
      <c r="CP361" s="259"/>
      <c r="CQ361" s="259"/>
      <c r="CR361" s="259"/>
      <c r="CS361" s="259"/>
      <c r="CT361" s="259"/>
      <c r="CU361" s="259"/>
      <c r="CV361" s="259"/>
      <c r="CW361" s="259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259"/>
      <c r="BP362" s="259"/>
      <c r="BQ362" s="259"/>
      <c r="BR362" s="259"/>
      <c r="BS362" s="259"/>
      <c r="BT362" s="259"/>
      <c r="BU362" s="259"/>
      <c r="BV362" s="259"/>
      <c r="BW362" s="259"/>
      <c r="BX362" s="259"/>
      <c r="BY362" s="259"/>
      <c r="BZ362" s="260"/>
      <c r="CA362" s="259"/>
      <c r="CB362" s="259"/>
      <c r="CC362" s="259"/>
      <c r="CD362" s="259"/>
      <c r="CE362" s="259"/>
      <c r="CF362" s="259"/>
      <c r="CG362" s="259"/>
      <c r="CH362" s="259"/>
      <c r="CI362" s="259"/>
      <c r="CJ362" s="259"/>
      <c r="CK362" s="259"/>
      <c r="CL362" s="259"/>
      <c r="CM362" s="259"/>
      <c r="CN362" s="259"/>
      <c r="CO362" s="259"/>
      <c r="CP362" s="259"/>
      <c r="CQ362" s="259"/>
      <c r="CR362" s="259"/>
      <c r="CS362" s="259"/>
      <c r="CT362" s="259"/>
      <c r="CU362" s="259"/>
      <c r="CV362" s="259"/>
      <c r="CW362" s="259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259"/>
      <c r="BP363" s="259"/>
      <c r="BQ363" s="259"/>
      <c r="BR363" s="259"/>
      <c r="BS363" s="259"/>
      <c r="BT363" s="259"/>
      <c r="BU363" s="259"/>
      <c r="BV363" s="259"/>
      <c r="BW363" s="259"/>
      <c r="BX363" s="259"/>
      <c r="BY363" s="259"/>
      <c r="BZ363" s="260"/>
      <c r="CA363" s="259"/>
      <c r="CB363" s="259"/>
      <c r="CC363" s="259"/>
      <c r="CD363" s="259"/>
      <c r="CE363" s="259"/>
      <c r="CF363" s="259"/>
      <c r="CG363" s="259"/>
      <c r="CH363" s="259"/>
      <c r="CI363" s="259"/>
      <c r="CJ363" s="259"/>
      <c r="CK363" s="259"/>
      <c r="CL363" s="259"/>
      <c r="CM363" s="259"/>
      <c r="CN363" s="259"/>
      <c r="CO363" s="259"/>
      <c r="CP363" s="259"/>
      <c r="CQ363" s="259"/>
      <c r="CR363" s="259"/>
      <c r="CS363" s="259"/>
      <c r="CT363" s="259"/>
      <c r="CU363" s="259"/>
      <c r="CV363" s="259"/>
      <c r="CW363" s="259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259"/>
      <c r="BP364" s="259"/>
      <c r="BQ364" s="259"/>
      <c r="BR364" s="259"/>
      <c r="BS364" s="259"/>
      <c r="BT364" s="259"/>
      <c r="BU364" s="259"/>
      <c r="BV364" s="259"/>
      <c r="BW364" s="259"/>
      <c r="BX364" s="259"/>
      <c r="BY364" s="259"/>
      <c r="BZ364" s="260"/>
      <c r="CA364" s="259"/>
      <c r="CB364" s="259"/>
      <c r="CC364" s="259"/>
      <c r="CD364" s="259"/>
      <c r="CE364" s="259"/>
      <c r="CF364" s="259"/>
      <c r="CG364" s="259"/>
      <c r="CH364" s="259"/>
      <c r="CI364" s="259"/>
      <c r="CJ364" s="259"/>
      <c r="CK364" s="259"/>
      <c r="CL364" s="259"/>
      <c r="CM364" s="259"/>
      <c r="CN364" s="259"/>
      <c r="CO364" s="259"/>
      <c r="CP364" s="259"/>
      <c r="CQ364" s="259"/>
      <c r="CR364" s="259"/>
      <c r="CS364" s="259"/>
      <c r="CT364" s="259"/>
      <c r="CU364" s="259"/>
      <c r="CV364" s="259"/>
      <c r="CW364" s="259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259"/>
      <c r="BP365" s="259"/>
      <c r="BQ365" s="259"/>
      <c r="BR365" s="259"/>
      <c r="BS365" s="259"/>
      <c r="BT365" s="259"/>
      <c r="BU365" s="259"/>
      <c r="BV365" s="259"/>
      <c r="BW365" s="259"/>
      <c r="BX365" s="259"/>
      <c r="BY365" s="259"/>
      <c r="BZ365" s="260"/>
      <c r="CA365" s="259"/>
      <c r="CB365" s="259"/>
      <c r="CC365" s="259"/>
      <c r="CD365" s="259"/>
      <c r="CE365" s="259"/>
      <c r="CF365" s="259"/>
      <c r="CG365" s="259"/>
      <c r="CH365" s="259"/>
      <c r="CI365" s="259"/>
      <c r="CJ365" s="259"/>
      <c r="CK365" s="259"/>
      <c r="CL365" s="259"/>
      <c r="CM365" s="259"/>
      <c r="CN365" s="259"/>
      <c r="CO365" s="259"/>
      <c r="CP365" s="259"/>
      <c r="CQ365" s="259"/>
      <c r="CR365" s="259"/>
      <c r="CS365" s="259"/>
      <c r="CT365" s="259"/>
      <c r="CU365" s="259"/>
      <c r="CV365" s="259"/>
      <c r="CW365" s="259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259"/>
      <c r="BP366" s="259"/>
      <c r="BQ366" s="259"/>
      <c r="BR366" s="259"/>
      <c r="BS366" s="259"/>
      <c r="BT366" s="259"/>
      <c r="BU366" s="259"/>
      <c r="BV366" s="259"/>
      <c r="BW366" s="259"/>
      <c r="BX366" s="259"/>
      <c r="BY366" s="259"/>
      <c r="BZ366" s="260"/>
      <c r="CA366" s="259"/>
      <c r="CB366" s="259"/>
      <c r="CC366" s="259"/>
      <c r="CD366" s="259"/>
      <c r="CE366" s="259"/>
      <c r="CF366" s="259"/>
      <c r="CG366" s="259"/>
      <c r="CH366" s="259"/>
      <c r="CI366" s="259"/>
      <c r="CJ366" s="259"/>
      <c r="CK366" s="259"/>
      <c r="CL366" s="259"/>
      <c r="CM366" s="259"/>
      <c r="CN366" s="259"/>
      <c r="CO366" s="259"/>
      <c r="CP366" s="259"/>
      <c r="CQ366" s="259"/>
      <c r="CR366" s="259"/>
      <c r="CS366" s="259"/>
      <c r="CT366" s="259"/>
      <c r="CU366" s="259"/>
      <c r="CV366" s="259"/>
      <c r="CW366" s="259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259"/>
      <c r="BP367" s="259"/>
      <c r="BQ367" s="259"/>
      <c r="BR367" s="259"/>
      <c r="BS367" s="259"/>
      <c r="BT367" s="259"/>
      <c r="BU367" s="259"/>
      <c r="BV367" s="259"/>
      <c r="BW367" s="259"/>
      <c r="BX367" s="259"/>
      <c r="BY367" s="259"/>
      <c r="BZ367" s="260"/>
      <c r="CA367" s="259"/>
      <c r="CB367" s="259"/>
      <c r="CC367" s="259"/>
      <c r="CD367" s="259"/>
      <c r="CE367" s="259"/>
      <c r="CF367" s="259"/>
      <c r="CG367" s="259"/>
      <c r="CH367" s="259"/>
      <c r="CI367" s="259"/>
      <c r="CJ367" s="259"/>
      <c r="CK367" s="259"/>
      <c r="CL367" s="259"/>
      <c r="CM367" s="259"/>
      <c r="CN367" s="259"/>
      <c r="CO367" s="259"/>
      <c r="CP367" s="259"/>
      <c r="CQ367" s="259"/>
      <c r="CR367" s="259"/>
      <c r="CS367" s="259"/>
      <c r="CT367" s="259"/>
      <c r="CU367" s="259"/>
      <c r="CV367" s="259"/>
      <c r="CW367" s="259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259"/>
      <c r="BP368" s="259"/>
      <c r="BQ368" s="259"/>
      <c r="BR368" s="259"/>
      <c r="BS368" s="259"/>
      <c r="BT368" s="259"/>
      <c r="BU368" s="259"/>
      <c r="BV368" s="259"/>
      <c r="BW368" s="259"/>
      <c r="BX368" s="259"/>
      <c r="BY368" s="259"/>
      <c r="BZ368" s="260"/>
      <c r="CA368" s="259"/>
      <c r="CB368" s="259"/>
      <c r="CC368" s="259"/>
      <c r="CD368" s="259"/>
      <c r="CE368" s="259"/>
      <c r="CF368" s="259"/>
      <c r="CG368" s="259"/>
      <c r="CH368" s="259"/>
      <c r="CI368" s="259"/>
      <c r="CJ368" s="259"/>
      <c r="CK368" s="259"/>
      <c r="CL368" s="259"/>
      <c r="CM368" s="259"/>
      <c r="CN368" s="259"/>
      <c r="CO368" s="259"/>
      <c r="CP368" s="259"/>
      <c r="CQ368" s="259"/>
      <c r="CR368" s="259"/>
      <c r="CS368" s="259"/>
      <c r="CT368" s="259"/>
      <c r="CU368" s="259"/>
      <c r="CV368" s="259"/>
      <c r="CW368" s="259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259"/>
      <c r="BP369" s="259"/>
      <c r="BQ369" s="259"/>
      <c r="BR369" s="259"/>
      <c r="BS369" s="259"/>
      <c r="BT369" s="259"/>
      <c r="BU369" s="259"/>
      <c r="BV369" s="259"/>
      <c r="BW369" s="259"/>
      <c r="BX369" s="259"/>
      <c r="BY369" s="259"/>
      <c r="BZ369" s="260"/>
      <c r="CA369" s="259"/>
      <c r="CB369" s="259"/>
      <c r="CC369" s="259"/>
      <c r="CD369" s="259"/>
      <c r="CE369" s="259"/>
      <c r="CF369" s="259"/>
      <c r="CG369" s="259"/>
      <c r="CH369" s="259"/>
      <c r="CI369" s="259"/>
      <c r="CJ369" s="259"/>
      <c r="CK369" s="259"/>
      <c r="CL369" s="259"/>
      <c r="CM369" s="259"/>
      <c r="CN369" s="259"/>
      <c r="CO369" s="259"/>
      <c r="CP369" s="259"/>
      <c r="CQ369" s="259"/>
      <c r="CR369" s="259"/>
      <c r="CS369" s="259"/>
      <c r="CT369" s="259"/>
      <c r="CU369" s="259"/>
      <c r="CV369" s="259"/>
      <c r="CW369" s="259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259"/>
      <c r="BP370" s="259"/>
      <c r="BQ370" s="259"/>
      <c r="BR370" s="259"/>
      <c r="BS370" s="259"/>
      <c r="BT370" s="259"/>
      <c r="BU370" s="259"/>
      <c r="BV370" s="259"/>
      <c r="BW370" s="259"/>
      <c r="BX370" s="259"/>
      <c r="BY370" s="259"/>
      <c r="BZ370" s="260"/>
      <c r="CA370" s="259"/>
      <c r="CB370" s="259"/>
      <c r="CC370" s="259"/>
      <c r="CD370" s="259"/>
      <c r="CE370" s="259"/>
      <c r="CF370" s="259"/>
      <c r="CG370" s="259"/>
      <c r="CH370" s="259"/>
      <c r="CI370" s="259"/>
      <c r="CJ370" s="259"/>
      <c r="CK370" s="259"/>
      <c r="CL370" s="259"/>
      <c r="CM370" s="259"/>
      <c r="CN370" s="259"/>
      <c r="CO370" s="259"/>
      <c r="CP370" s="259"/>
      <c r="CQ370" s="259"/>
      <c r="CR370" s="259"/>
      <c r="CS370" s="259"/>
      <c r="CT370" s="259"/>
      <c r="CU370" s="259"/>
      <c r="CV370" s="259"/>
      <c r="CW370" s="259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259"/>
      <c r="BP371" s="259"/>
      <c r="BQ371" s="259"/>
      <c r="BR371" s="259"/>
      <c r="BS371" s="259"/>
      <c r="BT371" s="259"/>
      <c r="BU371" s="259"/>
      <c r="BV371" s="259"/>
      <c r="BW371" s="259"/>
      <c r="BX371" s="259"/>
      <c r="BY371" s="259"/>
      <c r="BZ371" s="260"/>
      <c r="CA371" s="259"/>
      <c r="CB371" s="259"/>
      <c r="CC371" s="259"/>
      <c r="CD371" s="259"/>
      <c r="CE371" s="259"/>
      <c r="CF371" s="259"/>
      <c r="CG371" s="259"/>
      <c r="CH371" s="259"/>
      <c r="CI371" s="259"/>
      <c r="CJ371" s="259"/>
      <c r="CK371" s="259"/>
      <c r="CL371" s="259"/>
      <c r="CM371" s="259"/>
      <c r="CN371" s="259"/>
      <c r="CO371" s="259"/>
      <c r="CP371" s="259"/>
      <c r="CQ371" s="259"/>
      <c r="CR371" s="259"/>
      <c r="CS371" s="259"/>
      <c r="CT371" s="259"/>
      <c r="CU371" s="259"/>
      <c r="CV371" s="259"/>
      <c r="CW371" s="259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259"/>
      <c r="BP372" s="259"/>
      <c r="BQ372" s="259"/>
      <c r="BR372" s="259"/>
      <c r="BS372" s="259"/>
      <c r="BT372" s="259"/>
      <c r="BU372" s="259"/>
      <c r="BV372" s="259"/>
      <c r="BW372" s="259"/>
      <c r="BX372" s="259"/>
      <c r="BY372" s="259"/>
      <c r="BZ372" s="260"/>
      <c r="CA372" s="259"/>
      <c r="CB372" s="259"/>
      <c r="CC372" s="259"/>
      <c r="CD372" s="259"/>
      <c r="CE372" s="259"/>
      <c r="CF372" s="259"/>
      <c r="CG372" s="259"/>
      <c r="CH372" s="259"/>
      <c r="CI372" s="259"/>
      <c r="CJ372" s="259"/>
      <c r="CK372" s="259"/>
      <c r="CL372" s="259"/>
      <c r="CM372" s="259"/>
      <c r="CN372" s="259"/>
      <c r="CO372" s="259"/>
      <c r="CP372" s="259"/>
      <c r="CQ372" s="259"/>
      <c r="CR372" s="259"/>
      <c r="CS372" s="259"/>
      <c r="CT372" s="259"/>
      <c r="CU372" s="259"/>
      <c r="CV372" s="259"/>
      <c r="CW372" s="259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259"/>
      <c r="BP373" s="259"/>
      <c r="BQ373" s="259"/>
      <c r="BR373" s="259"/>
      <c r="BS373" s="259"/>
      <c r="BT373" s="259"/>
      <c r="BU373" s="259"/>
      <c r="BV373" s="259"/>
      <c r="BW373" s="259"/>
      <c r="BX373" s="259"/>
      <c r="BY373" s="259"/>
      <c r="BZ373" s="260"/>
      <c r="CA373" s="259"/>
      <c r="CB373" s="259"/>
      <c r="CC373" s="259"/>
      <c r="CD373" s="259"/>
      <c r="CE373" s="259"/>
      <c r="CF373" s="259"/>
      <c r="CG373" s="259"/>
      <c r="CH373" s="259"/>
      <c r="CI373" s="259"/>
      <c r="CJ373" s="259"/>
      <c r="CK373" s="259"/>
      <c r="CL373" s="259"/>
      <c r="CM373" s="259"/>
      <c r="CN373" s="259"/>
      <c r="CO373" s="259"/>
      <c r="CP373" s="259"/>
      <c r="CQ373" s="259"/>
      <c r="CR373" s="259"/>
      <c r="CS373" s="259"/>
      <c r="CT373" s="259"/>
      <c r="CU373" s="259"/>
      <c r="CV373" s="259"/>
      <c r="CW373" s="259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259"/>
      <c r="BP374" s="259"/>
      <c r="BQ374" s="259"/>
      <c r="BR374" s="259"/>
      <c r="BS374" s="259"/>
      <c r="BT374" s="259"/>
      <c r="BU374" s="259"/>
      <c r="BV374" s="259"/>
      <c r="BW374" s="259"/>
      <c r="BX374" s="259"/>
      <c r="BY374" s="259"/>
      <c r="BZ374" s="260"/>
      <c r="CA374" s="259"/>
      <c r="CB374" s="259"/>
      <c r="CC374" s="259"/>
      <c r="CD374" s="259"/>
      <c r="CE374" s="259"/>
      <c r="CF374" s="259"/>
      <c r="CG374" s="259"/>
      <c r="CH374" s="259"/>
      <c r="CI374" s="259"/>
      <c r="CJ374" s="259"/>
      <c r="CK374" s="259"/>
      <c r="CL374" s="259"/>
      <c r="CM374" s="259"/>
      <c r="CN374" s="259"/>
      <c r="CO374" s="259"/>
      <c r="CP374" s="259"/>
      <c r="CQ374" s="259"/>
      <c r="CR374" s="259"/>
      <c r="CS374" s="259"/>
      <c r="CT374" s="259"/>
      <c r="CU374" s="259"/>
      <c r="CV374" s="259"/>
      <c r="CW374" s="259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259"/>
      <c r="BP375" s="259"/>
      <c r="BQ375" s="259"/>
      <c r="BR375" s="259"/>
      <c r="BS375" s="259"/>
      <c r="BT375" s="259"/>
      <c r="BU375" s="259"/>
      <c r="BV375" s="259"/>
      <c r="BW375" s="259"/>
      <c r="BX375" s="259"/>
      <c r="BY375" s="259"/>
      <c r="BZ375" s="260"/>
      <c r="CA375" s="259"/>
      <c r="CB375" s="259"/>
      <c r="CC375" s="259"/>
      <c r="CD375" s="259"/>
      <c r="CE375" s="259"/>
      <c r="CF375" s="259"/>
      <c r="CG375" s="259"/>
      <c r="CH375" s="259"/>
      <c r="CI375" s="259"/>
      <c r="CJ375" s="259"/>
      <c r="CK375" s="259"/>
      <c r="CL375" s="259"/>
      <c r="CM375" s="259"/>
      <c r="CN375" s="259"/>
      <c r="CO375" s="259"/>
      <c r="CP375" s="259"/>
      <c r="CQ375" s="259"/>
      <c r="CR375" s="259"/>
      <c r="CS375" s="259"/>
      <c r="CT375" s="259"/>
      <c r="CU375" s="259"/>
      <c r="CV375" s="259"/>
      <c r="CW375" s="259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259"/>
      <c r="BP376" s="259"/>
      <c r="BQ376" s="259"/>
      <c r="BR376" s="259"/>
      <c r="BS376" s="259"/>
      <c r="BT376" s="259"/>
      <c r="BU376" s="259"/>
      <c r="BV376" s="259"/>
      <c r="BW376" s="259"/>
      <c r="BX376" s="259"/>
      <c r="BY376" s="259"/>
      <c r="BZ376" s="260"/>
      <c r="CA376" s="259"/>
      <c r="CB376" s="259"/>
      <c r="CC376" s="259"/>
      <c r="CD376" s="259"/>
      <c r="CE376" s="259"/>
      <c r="CF376" s="259"/>
      <c r="CG376" s="259"/>
      <c r="CH376" s="259"/>
      <c r="CI376" s="259"/>
      <c r="CJ376" s="259"/>
      <c r="CK376" s="259"/>
      <c r="CL376" s="259"/>
      <c r="CM376" s="259"/>
      <c r="CN376" s="259"/>
      <c r="CO376" s="259"/>
      <c r="CP376" s="259"/>
      <c r="CQ376" s="259"/>
      <c r="CR376" s="259"/>
      <c r="CS376" s="259"/>
      <c r="CT376" s="259"/>
      <c r="CU376" s="259"/>
      <c r="CV376" s="259"/>
      <c r="CW376" s="259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259"/>
      <c r="BP377" s="259"/>
      <c r="BQ377" s="259"/>
      <c r="BR377" s="259"/>
      <c r="BS377" s="259"/>
      <c r="BT377" s="259"/>
      <c r="BU377" s="259"/>
      <c r="BV377" s="259"/>
      <c r="BW377" s="259"/>
      <c r="BX377" s="259"/>
      <c r="BY377" s="259"/>
      <c r="BZ377" s="260"/>
      <c r="CA377" s="259"/>
      <c r="CB377" s="259"/>
      <c r="CC377" s="259"/>
      <c r="CD377" s="259"/>
      <c r="CE377" s="259"/>
      <c r="CF377" s="259"/>
      <c r="CG377" s="259"/>
      <c r="CH377" s="259"/>
      <c r="CI377" s="259"/>
      <c r="CJ377" s="259"/>
      <c r="CK377" s="259"/>
      <c r="CL377" s="259"/>
      <c r="CM377" s="259"/>
      <c r="CN377" s="259"/>
      <c r="CO377" s="259"/>
      <c r="CP377" s="259"/>
      <c r="CQ377" s="259"/>
      <c r="CR377" s="259"/>
      <c r="CS377" s="259"/>
      <c r="CT377" s="259"/>
      <c r="CU377" s="259"/>
      <c r="CV377" s="259"/>
      <c r="CW377" s="259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259"/>
      <c r="BP378" s="259"/>
      <c r="BQ378" s="259"/>
      <c r="BR378" s="259"/>
      <c r="BS378" s="259"/>
      <c r="BT378" s="259"/>
      <c r="BU378" s="259"/>
      <c r="BV378" s="259"/>
      <c r="BW378" s="259"/>
      <c r="BX378" s="259"/>
      <c r="BY378" s="259"/>
      <c r="BZ378" s="260"/>
      <c r="CA378" s="259"/>
      <c r="CB378" s="259"/>
      <c r="CC378" s="259"/>
      <c r="CD378" s="259"/>
      <c r="CE378" s="259"/>
      <c r="CF378" s="259"/>
      <c r="CG378" s="259"/>
      <c r="CH378" s="259"/>
      <c r="CI378" s="259"/>
      <c r="CJ378" s="259"/>
      <c r="CK378" s="259"/>
      <c r="CL378" s="259"/>
      <c r="CM378" s="259"/>
      <c r="CN378" s="259"/>
      <c r="CO378" s="259"/>
      <c r="CP378" s="259"/>
      <c r="CQ378" s="259"/>
      <c r="CR378" s="259"/>
      <c r="CS378" s="259"/>
      <c r="CT378" s="259"/>
      <c r="CU378" s="259"/>
      <c r="CV378" s="259"/>
      <c r="CW378" s="259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259"/>
      <c r="BP379" s="259"/>
      <c r="BQ379" s="259"/>
      <c r="BR379" s="259"/>
      <c r="BS379" s="259"/>
      <c r="BT379" s="259"/>
      <c r="BU379" s="259"/>
      <c r="BV379" s="259"/>
      <c r="BW379" s="259"/>
      <c r="BX379" s="259"/>
      <c r="BY379" s="259"/>
      <c r="BZ379" s="260"/>
      <c r="CA379" s="259"/>
      <c r="CB379" s="259"/>
      <c r="CC379" s="259"/>
      <c r="CD379" s="259"/>
      <c r="CE379" s="259"/>
      <c r="CF379" s="259"/>
      <c r="CG379" s="259"/>
      <c r="CH379" s="259"/>
      <c r="CI379" s="259"/>
      <c r="CJ379" s="259"/>
      <c r="CK379" s="259"/>
      <c r="CL379" s="259"/>
      <c r="CM379" s="259"/>
      <c r="CN379" s="259"/>
      <c r="CO379" s="259"/>
      <c r="CP379" s="259"/>
      <c r="CQ379" s="259"/>
      <c r="CR379" s="259"/>
      <c r="CS379" s="259"/>
      <c r="CT379" s="259"/>
      <c r="CU379" s="259"/>
      <c r="CV379" s="259"/>
      <c r="CW379" s="259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259"/>
      <c r="BP380" s="259"/>
      <c r="BQ380" s="259"/>
      <c r="BR380" s="259"/>
      <c r="BS380" s="259"/>
      <c r="BT380" s="259"/>
      <c r="BU380" s="259"/>
      <c r="BV380" s="259"/>
      <c r="BW380" s="259"/>
      <c r="BX380" s="259"/>
      <c r="BY380" s="259"/>
      <c r="BZ380" s="260"/>
      <c r="CA380" s="259"/>
      <c r="CB380" s="259"/>
      <c r="CC380" s="259"/>
      <c r="CD380" s="259"/>
      <c r="CE380" s="259"/>
      <c r="CF380" s="259"/>
      <c r="CG380" s="259"/>
      <c r="CH380" s="259"/>
      <c r="CI380" s="259"/>
      <c r="CJ380" s="259"/>
      <c r="CK380" s="259"/>
      <c r="CL380" s="259"/>
      <c r="CM380" s="259"/>
      <c r="CN380" s="259"/>
      <c r="CO380" s="259"/>
      <c r="CP380" s="259"/>
      <c r="CQ380" s="259"/>
      <c r="CR380" s="259"/>
      <c r="CS380" s="259"/>
      <c r="CT380" s="259"/>
      <c r="CU380" s="259"/>
      <c r="CV380" s="259"/>
      <c r="CW380" s="259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259"/>
      <c r="BP381" s="259"/>
      <c r="BQ381" s="259"/>
      <c r="BR381" s="259"/>
      <c r="BS381" s="259"/>
      <c r="BT381" s="259"/>
      <c r="BU381" s="259"/>
      <c r="BV381" s="259"/>
      <c r="BW381" s="259"/>
      <c r="BX381" s="259"/>
      <c r="BY381" s="259"/>
      <c r="BZ381" s="260"/>
      <c r="CA381" s="259"/>
      <c r="CB381" s="259"/>
      <c r="CC381" s="259"/>
      <c r="CD381" s="259"/>
      <c r="CE381" s="259"/>
      <c r="CF381" s="259"/>
      <c r="CG381" s="259"/>
      <c r="CH381" s="259"/>
      <c r="CI381" s="259"/>
      <c r="CJ381" s="259"/>
      <c r="CK381" s="259"/>
      <c r="CL381" s="259"/>
      <c r="CM381" s="259"/>
      <c r="CN381" s="259"/>
      <c r="CO381" s="259"/>
      <c r="CP381" s="259"/>
      <c r="CQ381" s="259"/>
      <c r="CR381" s="259"/>
      <c r="CS381" s="259"/>
      <c r="CT381" s="259"/>
      <c r="CU381" s="259"/>
      <c r="CV381" s="259"/>
      <c r="CW381" s="259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259"/>
      <c r="BP382" s="259"/>
      <c r="BQ382" s="259"/>
      <c r="BR382" s="259"/>
      <c r="BS382" s="259"/>
      <c r="BT382" s="259"/>
      <c r="BU382" s="259"/>
      <c r="BV382" s="259"/>
      <c r="BW382" s="259"/>
      <c r="BX382" s="259"/>
      <c r="BY382" s="259"/>
      <c r="BZ382" s="260"/>
      <c r="CA382" s="259"/>
      <c r="CB382" s="259"/>
      <c r="CC382" s="259"/>
      <c r="CD382" s="259"/>
      <c r="CE382" s="259"/>
      <c r="CF382" s="259"/>
      <c r="CG382" s="259"/>
      <c r="CH382" s="259"/>
      <c r="CI382" s="259"/>
      <c r="CJ382" s="259"/>
      <c r="CK382" s="259"/>
      <c r="CL382" s="259"/>
      <c r="CM382" s="259"/>
      <c r="CN382" s="259"/>
      <c r="CO382" s="259"/>
      <c r="CP382" s="259"/>
      <c r="CQ382" s="259"/>
      <c r="CR382" s="259"/>
      <c r="CS382" s="259"/>
      <c r="CT382" s="259"/>
      <c r="CU382" s="259"/>
      <c r="CV382" s="259"/>
      <c r="CW382" s="259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259"/>
      <c r="BP383" s="259"/>
      <c r="BQ383" s="259"/>
      <c r="BR383" s="259"/>
      <c r="BS383" s="259"/>
      <c r="BT383" s="259"/>
      <c r="BU383" s="259"/>
      <c r="BV383" s="259"/>
      <c r="BW383" s="259"/>
      <c r="BX383" s="259"/>
      <c r="BY383" s="259"/>
      <c r="BZ383" s="260"/>
      <c r="CA383" s="259"/>
      <c r="CB383" s="259"/>
      <c r="CC383" s="259"/>
      <c r="CD383" s="259"/>
      <c r="CE383" s="259"/>
      <c r="CF383" s="259"/>
      <c r="CG383" s="259"/>
      <c r="CH383" s="259"/>
      <c r="CI383" s="259"/>
      <c r="CJ383" s="259"/>
      <c r="CK383" s="259"/>
      <c r="CL383" s="259"/>
      <c r="CM383" s="259"/>
      <c r="CN383" s="259"/>
      <c r="CO383" s="259"/>
      <c r="CP383" s="259"/>
      <c r="CQ383" s="259"/>
      <c r="CR383" s="259"/>
      <c r="CS383" s="259"/>
      <c r="CT383" s="259"/>
      <c r="CU383" s="259"/>
      <c r="CV383" s="259"/>
      <c r="CW383" s="259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259"/>
      <c r="BP384" s="259"/>
      <c r="BQ384" s="259"/>
      <c r="BR384" s="259"/>
      <c r="BS384" s="259"/>
      <c r="BT384" s="259"/>
      <c r="BU384" s="259"/>
      <c r="BV384" s="259"/>
      <c r="BW384" s="259"/>
      <c r="BX384" s="259"/>
      <c r="BY384" s="259"/>
      <c r="BZ384" s="260"/>
      <c r="CA384" s="259"/>
      <c r="CB384" s="259"/>
      <c r="CC384" s="259"/>
      <c r="CD384" s="259"/>
      <c r="CE384" s="259"/>
      <c r="CF384" s="259"/>
      <c r="CG384" s="259"/>
      <c r="CH384" s="259"/>
      <c r="CI384" s="259"/>
      <c r="CJ384" s="259"/>
      <c r="CK384" s="259"/>
      <c r="CL384" s="259"/>
      <c r="CM384" s="259"/>
      <c r="CN384" s="259"/>
      <c r="CO384" s="259"/>
      <c r="CP384" s="259"/>
      <c r="CQ384" s="259"/>
      <c r="CR384" s="259"/>
      <c r="CS384" s="259"/>
      <c r="CT384" s="259"/>
      <c r="CU384" s="259"/>
      <c r="CV384" s="259"/>
      <c r="CW384" s="259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259"/>
      <c r="BP385" s="259"/>
      <c r="BQ385" s="259"/>
      <c r="BR385" s="259"/>
      <c r="BS385" s="259"/>
      <c r="BT385" s="259"/>
      <c r="BU385" s="259"/>
      <c r="BV385" s="259"/>
      <c r="BW385" s="259"/>
      <c r="BX385" s="259"/>
      <c r="BY385" s="259"/>
      <c r="BZ385" s="260"/>
      <c r="CA385" s="259"/>
      <c r="CB385" s="259"/>
      <c r="CC385" s="259"/>
      <c r="CD385" s="259"/>
      <c r="CE385" s="259"/>
      <c r="CF385" s="259"/>
      <c r="CG385" s="259"/>
      <c r="CH385" s="259"/>
      <c r="CI385" s="259"/>
      <c r="CJ385" s="259"/>
      <c r="CK385" s="259"/>
      <c r="CL385" s="259"/>
      <c r="CM385" s="259"/>
      <c r="CN385" s="259"/>
      <c r="CO385" s="259"/>
      <c r="CP385" s="259"/>
      <c r="CQ385" s="259"/>
      <c r="CR385" s="259"/>
      <c r="CS385" s="259"/>
      <c r="CT385" s="259"/>
      <c r="CU385" s="259"/>
      <c r="CV385" s="259"/>
      <c r="CW385" s="259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259"/>
      <c r="BP386" s="259"/>
      <c r="BQ386" s="259"/>
      <c r="BR386" s="259"/>
      <c r="BS386" s="259"/>
      <c r="BT386" s="259"/>
      <c r="BU386" s="259"/>
      <c r="BV386" s="259"/>
      <c r="BW386" s="259"/>
      <c r="BX386" s="259"/>
      <c r="BY386" s="259"/>
      <c r="BZ386" s="260"/>
      <c r="CA386" s="259"/>
      <c r="CB386" s="259"/>
      <c r="CC386" s="259"/>
      <c r="CD386" s="259"/>
      <c r="CE386" s="259"/>
      <c r="CF386" s="259"/>
      <c r="CG386" s="259"/>
      <c r="CH386" s="259"/>
      <c r="CI386" s="259"/>
      <c r="CJ386" s="259"/>
      <c r="CK386" s="259"/>
      <c r="CL386" s="259"/>
      <c r="CM386" s="259"/>
      <c r="CN386" s="259"/>
      <c r="CO386" s="259"/>
      <c r="CP386" s="259"/>
      <c r="CQ386" s="259"/>
      <c r="CR386" s="259"/>
      <c r="CS386" s="259"/>
      <c r="CT386" s="259"/>
      <c r="CU386" s="259"/>
      <c r="CV386" s="259"/>
      <c r="CW386" s="259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259"/>
      <c r="BP387" s="259"/>
      <c r="BQ387" s="259"/>
      <c r="BR387" s="259"/>
      <c r="BS387" s="259"/>
      <c r="BT387" s="259"/>
      <c r="BU387" s="259"/>
      <c r="BV387" s="259"/>
      <c r="BW387" s="259"/>
      <c r="BX387" s="259"/>
      <c r="BY387" s="259"/>
      <c r="BZ387" s="260"/>
      <c r="CA387" s="259"/>
      <c r="CB387" s="259"/>
      <c r="CC387" s="259"/>
      <c r="CD387" s="259"/>
      <c r="CE387" s="259"/>
      <c r="CF387" s="259"/>
      <c r="CG387" s="259"/>
      <c r="CH387" s="259"/>
      <c r="CI387" s="259"/>
      <c r="CJ387" s="259"/>
      <c r="CK387" s="259"/>
      <c r="CL387" s="259"/>
      <c r="CM387" s="259"/>
      <c r="CN387" s="259"/>
      <c r="CO387" s="259"/>
      <c r="CP387" s="259"/>
      <c r="CQ387" s="259"/>
      <c r="CR387" s="259"/>
      <c r="CS387" s="259"/>
      <c r="CT387" s="259"/>
      <c r="CU387" s="259"/>
      <c r="CV387" s="259"/>
      <c r="CW387" s="259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259"/>
      <c r="BP388" s="259"/>
      <c r="BQ388" s="259"/>
      <c r="BR388" s="259"/>
      <c r="BS388" s="259"/>
      <c r="BT388" s="259"/>
      <c r="BU388" s="259"/>
      <c r="BV388" s="259"/>
      <c r="BW388" s="259"/>
      <c r="BX388" s="259"/>
      <c r="BY388" s="259"/>
      <c r="BZ388" s="260"/>
      <c r="CA388" s="259"/>
      <c r="CB388" s="259"/>
      <c r="CC388" s="259"/>
      <c r="CD388" s="259"/>
      <c r="CE388" s="259"/>
      <c r="CF388" s="259"/>
      <c r="CG388" s="259"/>
      <c r="CH388" s="259"/>
      <c r="CI388" s="259"/>
      <c r="CJ388" s="259"/>
      <c r="CK388" s="259"/>
      <c r="CL388" s="259"/>
      <c r="CM388" s="259"/>
      <c r="CN388" s="259"/>
      <c r="CO388" s="259"/>
      <c r="CP388" s="259"/>
      <c r="CQ388" s="259"/>
      <c r="CR388" s="259"/>
      <c r="CS388" s="259"/>
      <c r="CT388" s="259"/>
      <c r="CU388" s="259"/>
      <c r="CV388" s="259"/>
      <c r="CW388" s="259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259"/>
      <c r="BP389" s="259"/>
      <c r="BQ389" s="259"/>
      <c r="BR389" s="259"/>
      <c r="BS389" s="259"/>
      <c r="BT389" s="259"/>
      <c r="BU389" s="259"/>
      <c r="BV389" s="259"/>
      <c r="BW389" s="259"/>
      <c r="BX389" s="259"/>
      <c r="BY389" s="259"/>
      <c r="BZ389" s="260"/>
      <c r="CA389" s="259"/>
      <c r="CB389" s="259"/>
      <c r="CC389" s="259"/>
      <c r="CD389" s="259"/>
      <c r="CE389" s="259"/>
      <c r="CF389" s="259"/>
      <c r="CG389" s="259"/>
      <c r="CH389" s="259"/>
      <c r="CI389" s="259"/>
      <c r="CJ389" s="259"/>
      <c r="CK389" s="259"/>
      <c r="CL389" s="259"/>
      <c r="CM389" s="259"/>
      <c r="CN389" s="259"/>
      <c r="CO389" s="259"/>
      <c r="CP389" s="259"/>
      <c r="CQ389" s="259"/>
      <c r="CR389" s="259"/>
      <c r="CS389" s="259"/>
      <c r="CT389" s="259"/>
      <c r="CU389" s="259"/>
      <c r="CV389" s="259"/>
      <c r="CW389" s="259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259"/>
      <c r="BP390" s="259"/>
      <c r="BQ390" s="259"/>
      <c r="BR390" s="259"/>
      <c r="BS390" s="259"/>
      <c r="BT390" s="259"/>
      <c r="BU390" s="259"/>
      <c r="BV390" s="259"/>
      <c r="BW390" s="259"/>
      <c r="BX390" s="259"/>
      <c r="BY390" s="259"/>
      <c r="BZ390" s="260"/>
      <c r="CA390" s="259"/>
      <c r="CB390" s="259"/>
      <c r="CC390" s="259"/>
      <c r="CD390" s="259"/>
      <c r="CE390" s="259"/>
      <c r="CF390" s="259"/>
      <c r="CG390" s="259"/>
      <c r="CH390" s="259"/>
      <c r="CI390" s="259"/>
      <c r="CJ390" s="259"/>
      <c r="CK390" s="259"/>
      <c r="CL390" s="259"/>
      <c r="CM390" s="259"/>
      <c r="CN390" s="259"/>
      <c r="CO390" s="259"/>
      <c r="CP390" s="259"/>
      <c r="CQ390" s="259"/>
      <c r="CR390" s="259"/>
      <c r="CS390" s="259"/>
      <c r="CT390" s="259"/>
      <c r="CU390" s="259"/>
      <c r="CV390" s="259"/>
      <c r="CW390" s="259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259"/>
      <c r="BP391" s="259"/>
      <c r="BQ391" s="259"/>
      <c r="BR391" s="259"/>
      <c r="BS391" s="259"/>
      <c r="BT391" s="259"/>
      <c r="BU391" s="259"/>
      <c r="BV391" s="259"/>
      <c r="BW391" s="259"/>
      <c r="BX391" s="259"/>
      <c r="BY391" s="259"/>
      <c r="BZ391" s="260"/>
      <c r="CA391" s="259"/>
      <c r="CB391" s="259"/>
      <c r="CC391" s="259"/>
      <c r="CD391" s="259"/>
      <c r="CE391" s="259"/>
      <c r="CF391" s="259"/>
      <c r="CG391" s="259"/>
      <c r="CH391" s="259"/>
      <c r="CI391" s="259"/>
      <c r="CJ391" s="259"/>
      <c r="CK391" s="259"/>
      <c r="CL391" s="259"/>
      <c r="CM391" s="259"/>
      <c r="CN391" s="259"/>
      <c r="CO391" s="259"/>
      <c r="CP391" s="259"/>
      <c r="CQ391" s="259"/>
      <c r="CR391" s="259"/>
      <c r="CS391" s="259"/>
      <c r="CT391" s="259"/>
      <c r="CU391" s="259"/>
      <c r="CV391" s="259"/>
      <c r="CW391" s="259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259"/>
      <c r="BP392" s="259"/>
      <c r="BQ392" s="259"/>
      <c r="BR392" s="259"/>
      <c r="BS392" s="259"/>
      <c r="BT392" s="259"/>
      <c r="BU392" s="259"/>
      <c r="BV392" s="259"/>
      <c r="BW392" s="259"/>
      <c r="BX392" s="259"/>
      <c r="BY392" s="259"/>
      <c r="BZ392" s="260"/>
      <c r="CA392" s="259"/>
      <c r="CB392" s="259"/>
      <c r="CC392" s="259"/>
      <c r="CD392" s="259"/>
      <c r="CE392" s="259"/>
      <c r="CF392" s="259"/>
      <c r="CG392" s="259"/>
      <c r="CH392" s="259"/>
      <c r="CI392" s="259"/>
      <c r="CJ392" s="259"/>
      <c r="CK392" s="259"/>
      <c r="CL392" s="259"/>
      <c r="CM392" s="259"/>
      <c r="CN392" s="259"/>
      <c r="CO392" s="259"/>
      <c r="CP392" s="259"/>
      <c r="CQ392" s="259"/>
      <c r="CR392" s="259"/>
      <c r="CS392" s="259"/>
      <c r="CT392" s="259"/>
      <c r="CU392" s="259"/>
      <c r="CV392" s="259"/>
      <c r="CW392" s="259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259"/>
      <c r="BP393" s="259"/>
      <c r="BQ393" s="259"/>
      <c r="BR393" s="259"/>
      <c r="BS393" s="259"/>
      <c r="BT393" s="259"/>
      <c r="BU393" s="259"/>
      <c r="BV393" s="259"/>
      <c r="BW393" s="259"/>
      <c r="BX393" s="259"/>
      <c r="BY393" s="259"/>
      <c r="BZ393" s="260"/>
      <c r="CA393" s="259"/>
      <c r="CB393" s="259"/>
      <c r="CC393" s="259"/>
      <c r="CD393" s="259"/>
      <c r="CE393" s="259"/>
      <c r="CF393" s="259"/>
      <c r="CG393" s="259"/>
      <c r="CH393" s="259"/>
      <c r="CI393" s="259"/>
      <c r="CJ393" s="259"/>
      <c r="CK393" s="259"/>
      <c r="CL393" s="259"/>
      <c r="CM393" s="259"/>
      <c r="CN393" s="259"/>
      <c r="CO393" s="259"/>
      <c r="CP393" s="259"/>
      <c r="CQ393" s="259"/>
      <c r="CR393" s="259"/>
      <c r="CS393" s="259"/>
      <c r="CT393" s="259"/>
      <c r="CU393" s="259"/>
      <c r="CV393" s="259"/>
      <c r="CW393" s="259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259"/>
      <c r="BP394" s="259"/>
      <c r="BQ394" s="259"/>
      <c r="BR394" s="259"/>
      <c r="BS394" s="259"/>
      <c r="BT394" s="259"/>
      <c r="BU394" s="259"/>
      <c r="BV394" s="259"/>
      <c r="BW394" s="259"/>
      <c r="BX394" s="259"/>
      <c r="BY394" s="259"/>
      <c r="BZ394" s="260"/>
      <c r="CA394" s="259"/>
      <c r="CB394" s="259"/>
      <c r="CC394" s="259"/>
      <c r="CD394" s="259"/>
      <c r="CE394" s="259"/>
      <c r="CF394" s="259"/>
      <c r="CG394" s="259"/>
      <c r="CH394" s="259"/>
      <c r="CI394" s="259"/>
      <c r="CJ394" s="259"/>
      <c r="CK394" s="259"/>
      <c r="CL394" s="259"/>
      <c r="CM394" s="259"/>
      <c r="CN394" s="259"/>
      <c r="CO394" s="259"/>
      <c r="CP394" s="259"/>
      <c r="CQ394" s="259"/>
      <c r="CR394" s="259"/>
      <c r="CS394" s="259"/>
      <c r="CT394" s="259"/>
      <c r="CU394" s="259"/>
      <c r="CV394" s="259"/>
      <c r="CW394" s="259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259"/>
      <c r="BP395" s="259"/>
      <c r="BQ395" s="259"/>
      <c r="BR395" s="259"/>
      <c r="BS395" s="259"/>
      <c r="BT395" s="259"/>
      <c r="BU395" s="259"/>
      <c r="BV395" s="259"/>
      <c r="BW395" s="259"/>
      <c r="BX395" s="259"/>
      <c r="BY395" s="259"/>
      <c r="BZ395" s="260"/>
      <c r="CA395" s="259"/>
      <c r="CB395" s="259"/>
      <c r="CC395" s="259"/>
      <c r="CD395" s="259"/>
      <c r="CE395" s="259"/>
      <c r="CF395" s="259"/>
      <c r="CG395" s="259"/>
      <c r="CH395" s="259"/>
      <c r="CI395" s="259"/>
      <c r="CJ395" s="259"/>
      <c r="CK395" s="259"/>
      <c r="CL395" s="259"/>
      <c r="CM395" s="259"/>
      <c r="CN395" s="259"/>
      <c r="CO395" s="259"/>
      <c r="CP395" s="259"/>
      <c r="CQ395" s="259"/>
      <c r="CR395" s="259"/>
      <c r="CS395" s="259"/>
      <c r="CT395" s="259"/>
      <c r="CU395" s="259"/>
      <c r="CV395" s="259"/>
      <c r="CW395" s="259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259"/>
      <c r="BP396" s="259"/>
      <c r="BQ396" s="259"/>
      <c r="BR396" s="259"/>
      <c r="BS396" s="259"/>
      <c r="BT396" s="259"/>
      <c r="BU396" s="259"/>
      <c r="BV396" s="259"/>
      <c r="BW396" s="259"/>
      <c r="BX396" s="259"/>
      <c r="BY396" s="259"/>
      <c r="BZ396" s="260"/>
      <c r="CA396" s="259"/>
      <c r="CB396" s="259"/>
      <c r="CC396" s="259"/>
      <c r="CD396" s="259"/>
      <c r="CE396" s="259"/>
      <c r="CF396" s="259"/>
      <c r="CG396" s="259"/>
      <c r="CH396" s="259"/>
      <c r="CI396" s="259"/>
      <c r="CJ396" s="259"/>
      <c r="CK396" s="259"/>
      <c r="CL396" s="259"/>
      <c r="CM396" s="259"/>
      <c r="CN396" s="259"/>
      <c r="CO396" s="259"/>
      <c r="CP396" s="259"/>
      <c r="CQ396" s="259"/>
      <c r="CR396" s="259"/>
      <c r="CS396" s="259"/>
      <c r="CT396" s="259"/>
      <c r="CU396" s="259"/>
      <c r="CV396" s="259"/>
      <c r="CW396" s="259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259"/>
      <c r="BP397" s="259"/>
      <c r="BQ397" s="259"/>
      <c r="BR397" s="259"/>
      <c r="BS397" s="259"/>
      <c r="BT397" s="259"/>
      <c r="BU397" s="259"/>
      <c r="BV397" s="259"/>
      <c r="BW397" s="259"/>
      <c r="BX397" s="259"/>
      <c r="BY397" s="259"/>
      <c r="BZ397" s="260"/>
      <c r="CA397" s="259"/>
      <c r="CB397" s="259"/>
      <c r="CC397" s="259"/>
      <c r="CD397" s="259"/>
      <c r="CE397" s="259"/>
      <c r="CF397" s="259"/>
      <c r="CG397" s="259"/>
      <c r="CH397" s="259"/>
      <c r="CI397" s="259"/>
      <c r="CJ397" s="259"/>
      <c r="CK397" s="259"/>
      <c r="CL397" s="259"/>
      <c r="CM397" s="259"/>
      <c r="CN397" s="259"/>
      <c r="CO397" s="259"/>
      <c r="CP397" s="259"/>
      <c r="CQ397" s="259"/>
      <c r="CR397" s="259"/>
      <c r="CS397" s="259"/>
      <c r="CT397" s="259"/>
      <c r="CU397" s="259"/>
      <c r="CV397" s="259"/>
      <c r="CW397" s="259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259"/>
      <c r="BP398" s="259"/>
      <c r="BQ398" s="259"/>
      <c r="BR398" s="259"/>
      <c r="BS398" s="259"/>
      <c r="BT398" s="259"/>
      <c r="BU398" s="259"/>
      <c r="BV398" s="259"/>
      <c r="BW398" s="259"/>
      <c r="BX398" s="259"/>
      <c r="BY398" s="259"/>
      <c r="BZ398" s="260"/>
      <c r="CA398" s="259"/>
      <c r="CB398" s="259"/>
      <c r="CC398" s="259"/>
      <c r="CD398" s="259"/>
      <c r="CE398" s="259"/>
      <c r="CF398" s="259"/>
      <c r="CG398" s="259"/>
      <c r="CH398" s="259"/>
      <c r="CI398" s="259"/>
      <c r="CJ398" s="259"/>
      <c r="CK398" s="259"/>
      <c r="CL398" s="259"/>
      <c r="CM398" s="259"/>
      <c r="CN398" s="259"/>
      <c r="CO398" s="259"/>
      <c r="CP398" s="259"/>
      <c r="CQ398" s="259"/>
      <c r="CR398" s="259"/>
      <c r="CS398" s="259"/>
      <c r="CT398" s="259"/>
      <c r="CU398" s="259"/>
      <c r="CV398" s="259"/>
      <c r="CW398" s="259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259"/>
      <c r="BP399" s="259"/>
      <c r="BQ399" s="259"/>
      <c r="BR399" s="259"/>
      <c r="BS399" s="259"/>
      <c r="BT399" s="259"/>
      <c r="BU399" s="259"/>
      <c r="BV399" s="259"/>
      <c r="BW399" s="259"/>
      <c r="BX399" s="259"/>
      <c r="BY399" s="259"/>
      <c r="BZ399" s="260"/>
      <c r="CA399" s="259"/>
      <c r="CB399" s="259"/>
      <c r="CC399" s="259"/>
      <c r="CD399" s="259"/>
      <c r="CE399" s="259"/>
      <c r="CF399" s="259"/>
      <c r="CG399" s="259"/>
      <c r="CH399" s="259"/>
      <c r="CI399" s="259"/>
      <c r="CJ399" s="259"/>
      <c r="CK399" s="259"/>
      <c r="CL399" s="259"/>
      <c r="CM399" s="259"/>
      <c r="CN399" s="259"/>
      <c r="CO399" s="259"/>
      <c r="CP399" s="259"/>
      <c r="CQ399" s="259"/>
      <c r="CR399" s="259"/>
      <c r="CS399" s="259"/>
      <c r="CT399" s="259"/>
      <c r="CU399" s="259"/>
      <c r="CV399" s="259"/>
      <c r="CW399" s="259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259"/>
      <c r="BP400" s="259"/>
      <c r="BQ400" s="259"/>
      <c r="BR400" s="259"/>
      <c r="BS400" s="259"/>
      <c r="BT400" s="259"/>
      <c r="BU400" s="259"/>
      <c r="BV400" s="259"/>
      <c r="BW400" s="259"/>
      <c r="BX400" s="259"/>
      <c r="BY400" s="259"/>
      <c r="BZ400" s="260"/>
      <c r="CA400" s="259"/>
      <c r="CB400" s="259"/>
      <c r="CC400" s="259"/>
      <c r="CD400" s="259"/>
      <c r="CE400" s="259"/>
      <c r="CF400" s="259"/>
      <c r="CG400" s="259"/>
      <c r="CH400" s="259"/>
      <c r="CI400" s="259"/>
      <c r="CJ400" s="259"/>
      <c r="CK400" s="259"/>
      <c r="CL400" s="259"/>
      <c r="CM400" s="259"/>
      <c r="CN400" s="259"/>
      <c r="CO400" s="259"/>
      <c r="CP400" s="259"/>
      <c r="CQ400" s="259"/>
      <c r="CR400" s="259"/>
      <c r="CS400" s="259"/>
      <c r="CT400" s="259"/>
      <c r="CU400" s="259"/>
      <c r="CV400" s="259"/>
      <c r="CW400" s="259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259"/>
      <c r="BP401" s="259"/>
      <c r="BQ401" s="259"/>
      <c r="BR401" s="259"/>
      <c r="BS401" s="259"/>
      <c r="BT401" s="259"/>
      <c r="BU401" s="259"/>
      <c r="BV401" s="259"/>
      <c r="BW401" s="259"/>
      <c r="BX401" s="259"/>
      <c r="BY401" s="259"/>
      <c r="BZ401" s="260"/>
      <c r="CA401" s="259"/>
      <c r="CB401" s="259"/>
      <c r="CC401" s="259"/>
      <c r="CD401" s="259"/>
      <c r="CE401" s="259"/>
      <c r="CF401" s="259"/>
      <c r="CG401" s="259"/>
      <c r="CH401" s="259"/>
      <c r="CI401" s="259"/>
      <c r="CJ401" s="259"/>
      <c r="CK401" s="259"/>
      <c r="CL401" s="259"/>
      <c r="CM401" s="259"/>
      <c r="CN401" s="259"/>
      <c r="CO401" s="259"/>
      <c r="CP401" s="259"/>
      <c r="CQ401" s="259"/>
      <c r="CR401" s="259"/>
      <c r="CS401" s="259"/>
      <c r="CT401" s="259"/>
      <c r="CU401" s="259"/>
      <c r="CV401" s="259"/>
      <c r="CW401" s="259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259"/>
      <c r="BP402" s="259"/>
      <c r="BQ402" s="259"/>
      <c r="BR402" s="259"/>
      <c r="BS402" s="259"/>
      <c r="BT402" s="259"/>
      <c r="BU402" s="259"/>
      <c r="BV402" s="259"/>
      <c r="BW402" s="259"/>
      <c r="BX402" s="259"/>
      <c r="BY402" s="259"/>
      <c r="BZ402" s="260"/>
      <c r="CA402" s="259"/>
      <c r="CB402" s="259"/>
      <c r="CC402" s="259"/>
      <c r="CD402" s="259"/>
      <c r="CE402" s="259"/>
      <c r="CF402" s="259"/>
      <c r="CG402" s="259"/>
      <c r="CH402" s="259"/>
      <c r="CI402" s="259"/>
      <c r="CJ402" s="259"/>
      <c r="CK402" s="259"/>
      <c r="CL402" s="259"/>
      <c r="CM402" s="259"/>
      <c r="CN402" s="259"/>
      <c r="CO402" s="259"/>
      <c r="CP402" s="259"/>
      <c r="CQ402" s="259"/>
      <c r="CR402" s="259"/>
      <c r="CS402" s="259"/>
      <c r="CT402" s="259"/>
      <c r="CU402" s="259"/>
      <c r="CV402" s="259"/>
      <c r="CW402" s="259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259"/>
      <c r="BP403" s="259"/>
      <c r="BQ403" s="259"/>
      <c r="BR403" s="259"/>
      <c r="BS403" s="259"/>
      <c r="BT403" s="259"/>
      <c r="BU403" s="259"/>
      <c r="BV403" s="259"/>
      <c r="BW403" s="259"/>
      <c r="BX403" s="259"/>
      <c r="BY403" s="259"/>
      <c r="BZ403" s="260"/>
      <c r="CA403" s="259"/>
      <c r="CB403" s="259"/>
      <c r="CC403" s="259"/>
      <c r="CD403" s="259"/>
      <c r="CE403" s="259"/>
      <c r="CF403" s="259"/>
      <c r="CG403" s="259"/>
      <c r="CH403" s="259"/>
      <c r="CI403" s="259"/>
      <c r="CJ403" s="259"/>
      <c r="CK403" s="259"/>
      <c r="CL403" s="259"/>
      <c r="CM403" s="259"/>
      <c r="CN403" s="259"/>
      <c r="CO403" s="259"/>
      <c r="CP403" s="259"/>
      <c r="CQ403" s="259"/>
      <c r="CR403" s="259"/>
      <c r="CS403" s="259"/>
      <c r="CT403" s="259"/>
      <c r="CU403" s="259"/>
      <c r="CV403" s="259"/>
      <c r="CW403" s="259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259"/>
      <c r="BP404" s="259"/>
      <c r="BQ404" s="259"/>
      <c r="BR404" s="259"/>
      <c r="BS404" s="259"/>
      <c r="BT404" s="259"/>
      <c r="BU404" s="259"/>
      <c r="BV404" s="259"/>
      <c r="BW404" s="259"/>
      <c r="BX404" s="259"/>
      <c r="BY404" s="259"/>
      <c r="BZ404" s="260"/>
      <c r="CA404" s="259"/>
      <c r="CB404" s="259"/>
      <c r="CC404" s="259"/>
      <c r="CD404" s="259"/>
      <c r="CE404" s="259"/>
      <c r="CF404" s="259"/>
      <c r="CG404" s="259"/>
      <c r="CH404" s="259"/>
      <c r="CI404" s="259"/>
      <c r="CJ404" s="259"/>
      <c r="CK404" s="259"/>
      <c r="CL404" s="259"/>
      <c r="CM404" s="259"/>
      <c r="CN404" s="259"/>
      <c r="CO404" s="259"/>
      <c r="CP404" s="259"/>
      <c r="CQ404" s="259"/>
      <c r="CR404" s="259"/>
      <c r="CS404" s="259"/>
      <c r="CT404" s="259"/>
      <c r="CU404" s="259"/>
      <c r="CV404" s="259"/>
      <c r="CW404" s="259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259"/>
      <c r="BP405" s="259"/>
      <c r="BQ405" s="259"/>
      <c r="BR405" s="259"/>
      <c r="BS405" s="259"/>
      <c r="BT405" s="259"/>
      <c r="BU405" s="259"/>
      <c r="BV405" s="259"/>
      <c r="BW405" s="259"/>
      <c r="BX405" s="259"/>
      <c r="BY405" s="259"/>
      <c r="BZ405" s="260"/>
      <c r="CA405" s="259"/>
      <c r="CB405" s="259"/>
      <c r="CC405" s="259"/>
      <c r="CD405" s="259"/>
      <c r="CE405" s="259"/>
      <c r="CF405" s="259"/>
      <c r="CG405" s="259"/>
      <c r="CH405" s="259"/>
      <c r="CI405" s="259"/>
      <c r="CJ405" s="259"/>
      <c r="CK405" s="259"/>
      <c r="CL405" s="259"/>
      <c r="CM405" s="259"/>
      <c r="CN405" s="259"/>
      <c r="CO405" s="259"/>
      <c r="CP405" s="259"/>
      <c r="CQ405" s="259"/>
      <c r="CR405" s="259"/>
      <c r="CS405" s="259"/>
      <c r="CT405" s="259"/>
      <c r="CU405" s="259"/>
      <c r="CV405" s="259"/>
      <c r="CW405" s="259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259"/>
      <c r="BP406" s="259"/>
      <c r="BQ406" s="259"/>
      <c r="BR406" s="259"/>
      <c r="BS406" s="259"/>
      <c r="BT406" s="259"/>
      <c r="BU406" s="259"/>
      <c r="BV406" s="259"/>
      <c r="BW406" s="259"/>
      <c r="BX406" s="259"/>
      <c r="BY406" s="259"/>
      <c r="BZ406" s="260"/>
      <c r="CA406" s="259"/>
      <c r="CB406" s="259"/>
      <c r="CC406" s="259"/>
      <c r="CD406" s="259"/>
      <c r="CE406" s="259"/>
      <c r="CF406" s="259"/>
      <c r="CG406" s="259"/>
      <c r="CH406" s="259"/>
      <c r="CI406" s="259"/>
      <c r="CJ406" s="259"/>
      <c r="CK406" s="259"/>
      <c r="CL406" s="259"/>
      <c r="CM406" s="259"/>
      <c r="CN406" s="259"/>
      <c r="CO406" s="259"/>
      <c r="CP406" s="259"/>
      <c r="CQ406" s="259"/>
      <c r="CR406" s="259"/>
      <c r="CS406" s="259"/>
      <c r="CT406" s="259"/>
      <c r="CU406" s="259"/>
      <c r="CV406" s="259"/>
      <c r="CW406" s="259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259"/>
      <c r="BP407" s="259"/>
      <c r="BQ407" s="259"/>
      <c r="BR407" s="259"/>
      <c r="BS407" s="259"/>
      <c r="BT407" s="259"/>
      <c r="BU407" s="259"/>
      <c r="BV407" s="259"/>
      <c r="BW407" s="259"/>
      <c r="BX407" s="259"/>
      <c r="BY407" s="259"/>
      <c r="BZ407" s="260"/>
      <c r="CA407" s="259"/>
      <c r="CB407" s="259"/>
      <c r="CC407" s="259"/>
      <c r="CD407" s="259"/>
      <c r="CE407" s="259"/>
      <c r="CF407" s="259"/>
      <c r="CG407" s="259"/>
      <c r="CH407" s="259"/>
      <c r="CI407" s="259"/>
      <c r="CJ407" s="259"/>
      <c r="CK407" s="259"/>
      <c r="CL407" s="259"/>
      <c r="CM407" s="259"/>
      <c r="CN407" s="259"/>
      <c r="CO407" s="259"/>
      <c r="CP407" s="259"/>
      <c r="CQ407" s="259"/>
      <c r="CR407" s="259"/>
      <c r="CS407" s="259"/>
      <c r="CT407" s="259"/>
      <c r="CU407" s="259"/>
      <c r="CV407" s="259"/>
      <c r="CW407" s="259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259"/>
      <c r="BP408" s="259"/>
      <c r="BQ408" s="259"/>
      <c r="BR408" s="259"/>
      <c r="BS408" s="259"/>
      <c r="BT408" s="259"/>
      <c r="BU408" s="259"/>
      <c r="BV408" s="259"/>
      <c r="BW408" s="259"/>
      <c r="BX408" s="259"/>
      <c r="BY408" s="259"/>
      <c r="BZ408" s="260"/>
      <c r="CA408" s="259"/>
      <c r="CB408" s="259"/>
      <c r="CC408" s="259"/>
      <c r="CD408" s="259"/>
      <c r="CE408" s="259"/>
      <c r="CF408" s="259"/>
      <c r="CG408" s="259"/>
      <c r="CH408" s="259"/>
      <c r="CI408" s="259"/>
      <c r="CJ408" s="259"/>
      <c r="CK408" s="259"/>
      <c r="CL408" s="259"/>
      <c r="CM408" s="259"/>
      <c r="CN408" s="259"/>
      <c r="CO408" s="259"/>
      <c r="CP408" s="259"/>
      <c r="CQ408" s="259"/>
      <c r="CR408" s="259"/>
      <c r="CS408" s="259"/>
      <c r="CT408" s="259"/>
      <c r="CU408" s="259"/>
      <c r="CV408" s="259"/>
      <c r="CW408" s="259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259"/>
      <c r="BP409" s="259"/>
      <c r="BQ409" s="259"/>
      <c r="BR409" s="259"/>
      <c r="BS409" s="259"/>
      <c r="BT409" s="259"/>
      <c r="BU409" s="259"/>
      <c r="BV409" s="259"/>
      <c r="BW409" s="259"/>
      <c r="BX409" s="259"/>
      <c r="BY409" s="259"/>
      <c r="BZ409" s="260"/>
      <c r="CA409" s="259"/>
      <c r="CB409" s="259"/>
      <c r="CC409" s="259"/>
      <c r="CD409" s="259"/>
      <c r="CE409" s="259"/>
      <c r="CF409" s="259"/>
      <c r="CG409" s="259"/>
      <c r="CH409" s="259"/>
      <c r="CI409" s="259"/>
      <c r="CJ409" s="259"/>
      <c r="CK409" s="259"/>
      <c r="CL409" s="259"/>
      <c r="CM409" s="259"/>
      <c r="CN409" s="259"/>
      <c r="CO409" s="259"/>
      <c r="CP409" s="259"/>
      <c r="CQ409" s="259"/>
      <c r="CR409" s="259"/>
      <c r="CS409" s="259"/>
      <c r="CT409" s="259"/>
      <c r="CU409" s="259"/>
      <c r="CV409" s="259"/>
      <c r="CW409" s="259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259"/>
      <c r="BP410" s="259"/>
      <c r="BQ410" s="259"/>
      <c r="BR410" s="259"/>
      <c r="BS410" s="259"/>
      <c r="BT410" s="259"/>
      <c r="BU410" s="259"/>
      <c r="BV410" s="259"/>
      <c r="BW410" s="259"/>
      <c r="BX410" s="259"/>
      <c r="BY410" s="259"/>
      <c r="BZ410" s="260"/>
      <c r="CA410" s="259"/>
      <c r="CB410" s="259"/>
      <c r="CC410" s="259"/>
      <c r="CD410" s="259"/>
      <c r="CE410" s="259"/>
      <c r="CF410" s="259"/>
      <c r="CG410" s="259"/>
      <c r="CH410" s="259"/>
      <c r="CI410" s="259"/>
      <c r="CJ410" s="259"/>
      <c r="CK410" s="259"/>
      <c r="CL410" s="259"/>
      <c r="CM410" s="259"/>
      <c r="CN410" s="259"/>
      <c r="CO410" s="259"/>
      <c r="CP410" s="259"/>
      <c r="CQ410" s="259"/>
      <c r="CR410" s="259"/>
      <c r="CS410" s="259"/>
      <c r="CT410" s="259"/>
      <c r="CU410" s="259"/>
      <c r="CV410" s="259"/>
      <c r="CW410" s="259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259"/>
      <c r="BP411" s="259"/>
      <c r="BQ411" s="259"/>
      <c r="BR411" s="259"/>
      <c r="BS411" s="259"/>
      <c r="BT411" s="259"/>
      <c r="BU411" s="259"/>
      <c r="BV411" s="259"/>
      <c r="BW411" s="259"/>
      <c r="BX411" s="259"/>
      <c r="BY411" s="259"/>
      <c r="BZ411" s="260"/>
      <c r="CA411" s="259"/>
      <c r="CB411" s="259"/>
      <c r="CC411" s="259"/>
      <c r="CD411" s="259"/>
      <c r="CE411" s="259"/>
      <c r="CF411" s="259"/>
      <c r="CG411" s="259"/>
      <c r="CH411" s="259"/>
      <c r="CI411" s="259"/>
      <c r="CJ411" s="259"/>
      <c r="CK411" s="259"/>
      <c r="CL411" s="259"/>
      <c r="CM411" s="259"/>
      <c r="CN411" s="259"/>
      <c r="CO411" s="259"/>
      <c r="CP411" s="259"/>
      <c r="CQ411" s="259"/>
      <c r="CR411" s="259"/>
      <c r="CS411" s="259"/>
      <c r="CT411" s="259"/>
      <c r="CU411" s="259"/>
      <c r="CV411" s="259"/>
      <c r="CW411" s="259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259"/>
      <c r="BP412" s="259"/>
      <c r="BQ412" s="259"/>
      <c r="BR412" s="259"/>
      <c r="BS412" s="259"/>
      <c r="BT412" s="259"/>
      <c r="BU412" s="259"/>
      <c r="BV412" s="259"/>
      <c r="BW412" s="259"/>
      <c r="BX412" s="259"/>
      <c r="BY412" s="259"/>
      <c r="BZ412" s="260"/>
      <c r="CA412" s="259"/>
      <c r="CB412" s="259"/>
      <c r="CC412" s="259"/>
      <c r="CD412" s="259"/>
      <c r="CE412" s="259"/>
      <c r="CF412" s="259"/>
      <c r="CG412" s="259"/>
      <c r="CH412" s="259"/>
      <c r="CI412" s="259"/>
      <c r="CJ412" s="259"/>
      <c r="CK412" s="259"/>
      <c r="CL412" s="259"/>
      <c r="CM412" s="259"/>
      <c r="CN412" s="259"/>
      <c r="CO412" s="259"/>
      <c r="CP412" s="259"/>
      <c r="CQ412" s="259"/>
      <c r="CR412" s="259"/>
      <c r="CS412" s="259"/>
      <c r="CT412" s="259"/>
      <c r="CU412" s="259"/>
      <c r="CV412" s="259"/>
      <c r="CW412" s="259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259"/>
      <c r="BP413" s="259"/>
      <c r="BQ413" s="259"/>
      <c r="BR413" s="259"/>
      <c r="BS413" s="259"/>
      <c r="BT413" s="259"/>
      <c r="BU413" s="259"/>
      <c r="BV413" s="259"/>
      <c r="BW413" s="259"/>
      <c r="BX413" s="259"/>
      <c r="BY413" s="259"/>
      <c r="BZ413" s="260"/>
      <c r="CA413" s="259"/>
      <c r="CB413" s="259"/>
      <c r="CC413" s="259"/>
      <c r="CD413" s="259"/>
      <c r="CE413" s="259"/>
      <c r="CF413" s="259"/>
      <c r="CG413" s="259"/>
      <c r="CH413" s="259"/>
      <c r="CI413" s="259"/>
      <c r="CJ413" s="259"/>
      <c r="CK413" s="259"/>
      <c r="CL413" s="259"/>
      <c r="CM413" s="259"/>
      <c r="CN413" s="259"/>
      <c r="CO413" s="259"/>
      <c r="CP413" s="259"/>
      <c r="CQ413" s="259"/>
      <c r="CR413" s="259"/>
      <c r="CS413" s="259"/>
      <c r="CT413" s="259"/>
      <c r="CU413" s="259"/>
      <c r="CV413" s="259"/>
      <c r="CW413" s="259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259"/>
      <c r="BP414" s="259"/>
      <c r="BQ414" s="259"/>
      <c r="BR414" s="259"/>
      <c r="BS414" s="259"/>
      <c r="BT414" s="259"/>
      <c r="BU414" s="259"/>
      <c r="BV414" s="259"/>
      <c r="BW414" s="259"/>
      <c r="BX414" s="259"/>
      <c r="BY414" s="259"/>
      <c r="BZ414" s="260"/>
      <c r="CA414" s="259"/>
      <c r="CB414" s="259"/>
      <c r="CC414" s="259"/>
      <c r="CD414" s="259"/>
      <c r="CE414" s="259"/>
      <c r="CF414" s="259"/>
      <c r="CG414" s="259"/>
      <c r="CH414" s="259"/>
      <c r="CI414" s="259"/>
      <c r="CJ414" s="259"/>
      <c r="CK414" s="259"/>
      <c r="CL414" s="259"/>
      <c r="CM414" s="259"/>
      <c r="CN414" s="259"/>
      <c r="CO414" s="259"/>
      <c r="CP414" s="259"/>
      <c r="CQ414" s="259"/>
      <c r="CR414" s="259"/>
      <c r="CS414" s="259"/>
      <c r="CT414" s="259"/>
      <c r="CU414" s="259"/>
      <c r="CV414" s="259"/>
      <c r="CW414" s="259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259"/>
      <c r="BP415" s="259"/>
      <c r="BQ415" s="259"/>
      <c r="BR415" s="259"/>
      <c r="BS415" s="259"/>
      <c r="BT415" s="259"/>
      <c r="BU415" s="259"/>
      <c r="BV415" s="259"/>
      <c r="BW415" s="259"/>
      <c r="BX415" s="259"/>
      <c r="BY415" s="259"/>
      <c r="BZ415" s="260"/>
      <c r="CA415" s="259"/>
      <c r="CB415" s="259"/>
      <c r="CC415" s="259"/>
      <c r="CD415" s="259"/>
      <c r="CE415" s="259"/>
      <c r="CF415" s="259"/>
      <c r="CG415" s="259"/>
      <c r="CH415" s="259"/>
      <c r="CI415" s="259"/>
      <c r="CJ415" s="259"/>
      <c r="CK415" s="259"/>
      <c r="CL415" s="259"/>
      <c r="CM415" s="259"/>
      <c r="CN415" s="259"/>
      <c r="CO415" s="259"/>
      <c r="CP415" s="259"/>
      <c r="CQ415" s="259"/>
      <c r="CR415" s="259"/>
      <c r="CS415" s="259"/>
      <c r="CT415" s="259"/>
      <c r="CU415" s="259"/>
      <c r="CV415" s="259"/>
      <c r="CW415" s="259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259"/>
      <c r="BP416" s="259"/>
      <c r="BQ416" s="259"/>
      <c r="BR416" s="259"/>
      <c r="BS416" s="259"/>
      <c r="BT416" s="259"/>
      <c r="BU416" s="259"/>
      <c r="BV416" s="259"/>
      <c r="BW416" s="259"/>
      <c r="BX416" s="259"/>
      <c r="BY416" s="259"/>
      <c r="BZ416" s="260"/>
      <c r="CA416" s="259"/>
      <c r="CB416" s="259"/>
      <c r="CC416" s="259"/>
      <c r="CD416" s="259"/>
      <c r="CE416" s="259"/>
      <c r="CF416" s="259"/>
      <c r="CG416" s="259"/>
      <c r="CH416" s="259"/>
      <c r="CI416" s="259"/>
      <c r="CJ416" s="259"/>
      <c r="CK416" s="259"/>
      <c r="CL416" s="259"/>
      <c r="CM416" s="259"/>
      <c r="CN416" s="259"/>
      <c r="CO416" s="259"/>
      <c r="CP416" s="259"/>
      <c r="CQ416" s="259"/>
      <c r="CR416" s="259"/>
      <c r="CS416" s="259"/>
      <c r="CT416" s="259"/>
      <c r="CU416" s="259"/>
      <c r="CV416" s="259"/>
      <c r="CW416" s="259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259"/>
      <c r="BP417" s="259"/>
      <c r="BQ417" s="259"/>
      <c r="BR417" s="259"/>
      <c r="BS417" s="259"/>
      <c r="BT417" s="259"/>
      <c r="BU417" s="259"/>
      <c r="BV417" s="259"/>
      <c r="BW417" s="259"/>
      <c r="BX417" s="259"/>
      <c r="BY417" s="259"/>
      <c r="BZ417" s="260"/>
      <c r="CA417" s="259"/>
      <c r="CB417" s="259"/>
      <c r="CC417" s="259"/>
      <c r="CD417" s="259"/>
      <c r="CE417" s="259"/>
      <c r="CF417" s="259"/>
      <c r="CG417" s="259"/>
      <c r="CH417" s="259"/>
      <c r="CI417" s="259"/>
      <c r="CJ417" s="259"/>
      <c r="CK417" s="259"/>
      <c r="CL417" s="259"/>
      <c r="CM417" s="259"/>
      <c r="CN417" s="259"/>
      <c r="CO417" s="259"/>
      <c r="CP417" s="259"/>
      <c r="CQ417" s="259"/>
      <c r="CR417" s="259"/>
      <c r="CS417" s="259"/>
      <c r="CT417" s="259"/>
      <c r="CU417" s="259"/>
      <c r="CV417" s="259"/>
      <c r="CW417" s="259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259"/>
      <c r="BP418" s="259"/>
      <c r="BQ418" s="259"/>
      <c r="BR418" s="259"/>
      <c r="BS418" s="259"/>
      <c r="BT418" s="259"/>
      <c r="BU418" s="259"/>
      <c r="BV418" s="259"/>
      <c r="BW418" s="259"/>
      <c r="BX418" s="259"/>
      <c r="BY418" s="259"/>
      <c r="BZ418" s="260"/>
      <c r="CA418" s="259"/>
      <c r="CB418" s="259"/>
      <c r="CC418" s="259"/>
      <c r="CD418" s="259"/>
      <c r="CE418" s="259"/>
      <c r="CF418" s="259"/>
      <c r="CG418" s="259"/>
      <c r="CH418" s="259"/>
      <c r="CI418" s="259"/>
      <c r="CJ418" s="259"/>
      <c r="CK418" s="259"/>
      <c r="CL418" s="259"/>
      <c r="CM418" s="259"/>
      <c r="CN418" s="259"/>
      <c r="CO418" s="259"/>
      <c r="CP418" s="259"/>
      <c r="CQ418" s="259"/>
      <c r="CR418" s="259"/>
      <c r="CS418" s="259"/>
      <c r="CT418" s="259"/>
      <c r="CU418" s="259"/>
      <c r="CV418" s="259"/>
      <c r="CW418" s="259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259"/>
      <c r="BP419" s="259"/>
      <c r="BQ419" s="259"/>
      <c r="BR419" s="259"/>
      <c r="BS419" s="259"/>
      <c r="BT419" s="259"/>
      <c r="BU419" s="259"/>
      <c r="BV419" s="259"/>
      <c r="BW419" s="259"/>
      <c r="BX419" s="259"/>
      <c r="BY419" s="259"/>
      <c r="BZ419" s="260"/>
      <c r="CA419" s="259"/>
      <c r="CB419" s="259"/>
      <c r="CC419" s="259"/>
      <c r="CD419" s="259"/>
      <c r="CE419" s="259"/>
      <c r="CF419" s="259"/>
      <c r="CG419" s="259"/>
      <c r="CH419" s="259"/>
      <c r="CI419" s="259"/>
      <c r="CJ419" s="259"/>
      <c r="CK419" s="259"/>
      <c r="CL419" s="259"/>
      <c r="CM419" s="259"/>
      <c r="CN419" s="259"/>
      <c r="CO419" s="259"/>
      <c r="CP419" s="259"/>
      <c r="CQ419" s="259"/>
      <c r="CR419" s="259"/>
      <c r="CS419" s="259"/>
      <c r="CT419" s="259"/>
      <c r="CU419" s="259"/>
      <c r="CV419" s="259"/>
      <c r="CW419" s="259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259"/>
      <c r="BP420" s="259"/>
      <c r="BQ420" s="259"/>
      <c r="BR420" s="259"/>
      <c r="BS420" s="259"/>
      <c r="BT420" s="259"/>
      <c r="BU420" s="259"/>
      <c r="BV420" s="259"/>
      <c r="BW420" s="259"/>
      <c r="BX420" s="259"/>
      <c r="BY420" s="259"/>
      <c r="BZ420" s="260"/>
      <c r="CA420" s="259"/>
      <c r="CB420" s="259"/>
      <c r="CC420" s="259"/>
      <c r="CD420" s="259"/>
      <c r="CE420" s="259"/>
      <c r="CF420" s="259"/>
      <c r="CG420" s="259"/>
      <c r="CH420" s="259"/>
      <c r="CI420" s="259"/>
      <c r="CJ420" s="259"/>
      <c r="CK420" s="259"/>
      <c r="CL420" s="259"/>
      <c r="CM420" s="259"/>
      <c r="CN420" s="259"/>
      <c r="CO420" s="259"/>
      <c r="CP420" s="259"/>
      <c r="CQ420" s="259"/>
      <c r="CR420" s="259"/>
      <c r="CS420" s="259"/>
      <c r="CT420" s="259"/>
      <c r="CU420" s="259"/>
      <c r="CV420" s="259"/>
      <c r="CW420" s="259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259"/>
      <c r="BP421" s="259"/>
      <c r="BQ421" s="259"/>
      <c r="BR421" s="259"/>
      <c r="BS421" s="259"/>
      <c r="BT421" s="259"/>
      <c r="BU421" s="259"/>
      <c r="BV421" s="259"/>
      <c r="BW421" s="259"/>
      <c r="BX421" s="259"/>
      <c r="BY421" s="259"/>
      <c r="BZ421" s="260"/>
      <c r="CA421" s="259"/>
      <c r="CB421" s="259"/>
      <c r="CC421" s="259"/>
      <c r="CD421" s="259"/>
      <c r="CE421" s="259"/>
      <c r="CF421" s="259"/>
      <c r="CG421" s="259"/>
      <c r="CH421" s="259"/>
      <c r="CI421" s="259"/>
      <c r="CJ421" s="259"/>
      <c r="CK421" s="259"/>
      <c r="CL421" s="259"/>
      <c r="CM421" s="259"/>
      <c r="CN421" s="259"/>
      <c r="CO421" s="259"/>
      <c r="CP421" s="259"/>
      <c r="CQ421" s="259"/>
      <c r="CR421" s="259"/>
      <c r="CS421" s="259"/>
      <c r="CT421" s="259"/>
      <c r="CU421" s="259"/>
      <c r="CV421" s="259"/>
      <c r="CW421" s="259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259"/>
      <c r="BP422" s="259"/>
      <c r="BQ422" s="259"/>
      <c r="BR422" s="259"/>
      <c r="BS422" s="259"/>
      <c r="BT422" s="259"/>
      <c r="BU422" s="259"/>
      <c r="BV422" s="259"/>
      <c r="BW422" s="259"/>
      <c r="BX422" s="259"/>
      <c r="BY422" s="259"/>
      <c r="BZ422" s="260"/>
      <c r="CA422" s="259"/>
      <c r="CB422" s="259"/>
      <c r="CC422" s="259"/>
      <c r="CD422" s="259"/>
      <c r="CE422" s="259"/>
      <c r="CF422" s="259"/>
      <c r="CG422" s="259"/>
      <c r="CH422" s="259"/>
      <c r="CI422" s="259"/>
      <c r="CJ422" s="259"/>
      <c r="CK422" s="259"/>
      <c r="CL422" s="259"/>
      <c r="CM422" s="259"/>
      <c r="CN422" s="259"/>
      <c r="CO422" s="259"/>
      <c r="CP422" s="259"/>
      <c r="CQ422" s="259"/>
      <c r="CR422" s="259"/>
      <c r="CS422" s="259"/>
      <c r="CT422" s="259"/>
      <c r="CU422" s="259"/>
      <c r="CV422" s="259"/>
      <c r="CW422" s="259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30"/>
      <c r="BL423" s="30"/>
      <c r="BM423" s="30"/>
      <c r="BN423" s="30"/>
      <c r="BO423" s="259"/>
      <c r="BP423" s="259"/>
      <c r="BQ423" s="259"/>
      <c r="BR423" s="259"/>
      <c r="BS423" s="259"/>
      <c r="BT423" s="259"/>
      <c r="BU423" s="259"/>
      <c r="BV423" s="259"/>
      <c r="BW423" s="259"/>
      <c r="BX423" s="259"/>
      <c r="BY423" s="259"/>
      <c r="BZ423" s="260"/>
      <c r="CA423" s="259"/>
      <c r="CB423" s="259"/>
      <c r="CC423" s="259"/>
      <c r="CD423" s="259"/>
      <c r="CE423" s="259"/>
      <c r="CF423" s="259"/>
      <c r="CG423" s="259"/>
      <c r="CH423" s="259"/>
      <c r="CI423" s="259"/>
      <c r="CJ423" s="259"/>
      <c r="CK423" s="259"/>
      <c r="CL423" s="259"/>
      <c r="CM423" s="259"/>
      <c r="CN423" s="259"/>
      <c r="CO423" s="259"/>
      <c r="CP423" s="259"/>
      <c r="CQ423" s="259"/>
      <c r="CR423" s="259"/>
      <c r="CS423" s="259"/>
      <c r="CT423" s="259"/>
      <c r="CU423" s="259"/>
      <c r="CV423" s="259"/>
      <c r="CW423" s="259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259"/>
      <c r="BP424" s="259"/>
      <c r="BQ424" s="259"/>
      <c r="BR424" s="259"/>
      <c r="BS424" s="259"/>
      <c r="BT424" s="259"/>
      <c r="BU424" s="259"/>
      <c r="BV424" s="259"/>
      <c r="BW424" s="259"/>
      <c r="BX424" s="259"/>
      <c r="BY424" s="259"/>
      <c r="BZ424" s="260"/>
      <c r="CA424" s="259"/>
      <c r="CB424" s="259"/>
      <c r="CC424" s="259"/>
      <c r="CD424" s="259"/>
      <c r="CE424" s="259"/>
      <c r="CF424" s="259"/>
      <c r="CG424" s="259"/>
      <c r="CH424" s="259"/>
      <c r="CI424" s="259"/>
      <c r="CJ424" s="259"/>
      <c r="CK424" s="259"/>
      <c r="CL424" s="259"/>
      <c r="CM424" s="259"/>
      <c r="CN424" s="259"/>
      <c r="CO424" s="259"/>
      <c r="CP424" s="259"/>
      <c r="CQ424" s="259"/>
      <c r="CR424" s="259"/>
      <c r="CS424" s="259"/>
      <c r="CT424" s="259"/>
      <c r="CU424" s="259"/>
      <c r="CV424" s="259"/>
      <c r="CW424" s="259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259"/>
      <c r="BP425" s="259"/>
      <c r="BQ425" s="259"/>
      <c r="BR425" s="259"/>
      <c r="BS425" s="259"/>
      <c r="BT425" s="259"/>
      <c r="BU425" s="259"/>
      <c r="BV425" s="259"/>
      <c r="BW425" s="259"/>
      <c r="BX425" s="259"/>
      <c r="BY425" s="259"/>
      <c r="BZ425" s="260"/>
      <c r="CA425" s="259"/>
      <c r="CB425" s="259"/>
      <c r="CC425" s="259"/>
      <c r="CD425" s="259"/>
      <c r="CE425" s="259"/>
      <c r="CF425" s="259"/>
      <c r="CG425" s="259"/>
      <c r="CH425" s="259"/>
      <c r="CI425" s="259"/>
      <c r="CJ425" s="259"/>
      <c r="CK425" s="259"/>
      <c r="CL425" s="259"/>
      <c r="CM425" s="259"/>
      <c r="CN425" s="259"/>
      <c r="CO425" s="259"/>
      <c r="CP425" s="259"/>
      <c r="CQ425" s="259"/>
      <c r="CR425" s="259"/>
      <c r="CS425" s="259"/>
      <c r="CT425" s="259"/>
      <c r="CU425" s="259"/>
      <c r="CV425" s="259"/>
      <c r="CW425" s="259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259"/>
      <c r="BP426" s="259"/>
      <c r="BQ426" s="259"/>
      <c r="BR426" s="259"/>
      <c r="BS426" s="259"/>
      <c r="BT426" s="259"/>
      <c r="BU426" s="259"/>
      <c r="BV426" s="259"/>
      <c r="BW426" s="259"/>
      <c r="BX426" s="259"/>
      <c r="BY426" s="259"/>
      <c r="BZ426" s="260"/>
      <c r="CA426" s="259"/>
      <c r="CB426" s="259"/>
      <c r="CC426" s="259"/>
      <c r="CD426" s="259"/>
      <c r="CE426" s="259"/>
      <c r="CF426" s="259"/>
      <c r="CG426" s="259"/>
      <c r="CH426" s="259"/>
      <c r="CI426" s="259"/>
      <c r="CJ426" s="259"/>
      <c r="CK426" s="259"/>
      <c r="CL426" s="259"/>
      <c r="CM426" s="259"/>
      <c r="CN426" s="259"/>
      <c r="CO426" s="259"/>
      <c r="CP426" s="259"/>
      <c r="CQ426" s="259"/>
      <c r="CR426" s="259"/>
      <c r="CS426" s="259"/>
      <c r="CT426" s="259"/>
      <c r="CU426" s="259"/>
      <c r="CV426" s="259"/>
      <c r="CW426" s="259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259"/>
      <c r="BP427" s="259"/>
      <c r="BQ427" s="259"/>
      <c r="BR427" s="259"/>
      <c r="BS427" s="259"/>
      <c r="BT427" s="259"/>
      <c r="BU427" s="259"/>
      <c r="BV427" s="259"/>
      <c r="BW427" s="259"/>
      <c r="BX427" s="259"/>
      <c r="BY427" s="259"/>
      <c r="BZ427" s="260"/>
      <c r="CA427" s="259"/>
      <c r="CB427" s="259"/>
      <c r="CC427" s="259"/>
      <c r="CD427" s="259"/>
      <c r="CE427" s="259"/>
      <c r="CF427" s="259"/>
      <c r="CG427" s="259"/>
      <c r="CH427" s="259"/>
      <c r="CI427" s="259"/>
      <c r="CJ427" s="259"/>
      <c r="CK427" s="259"/>
      <c r="CL427" s="259"/>
      <c r="CM427" s="259"/>
      <c r="CN427" s="259"/>
      <c r="CO427" s="259"/>
      <c r="CP427" s="259"/>
      <c r="CQ427" s="259"/>
      <c r="CR427" s="259"/>
      <c r="CS427" s="259"/>
      <c r="CT427" s="259"/>
      <c r="CU427" s="259"/>
      <c r="CV427" s="259"/>
      <c r="CW427" s="259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259"/>
      <c r="BP428" s="259"/>
      <c r="BQ428" s="259"/>
      <c r="BR428" s="259"/>
      <c r="BS428" s="259"/>
      <c r="BT428" s="259"/>
      <c r="BU428" s="259"/>
      <c r="BV428" s="259"/>
      <c r="BW428" s="259"/>
      <c r="BX428" s="259"/>
      <c r="BY428" s="259"/>
      <c r="BZ428" s="260"/>
      <c r="CA428" s="259"/>
      <c r="CB428" s="259"/>
      <c r="CC428" s="259"/>
      <c r="CD428" s="259"/>
      <c r="CE428" s="259"/>
      <c r="CF428" s="259"/>
      <c r="CG428" s="259"/>
      <c r="CH428" s="259"/>
      <c r="CI428" s="259"/>
      <c r="CJ428" s="259"/>
      <c r="CK428" s="259"/>
      <c r="CL428" s="259"/>
      <c r="CM428" s="259"/>
      <c r="CN428" s="259"/>
      <c r="CO428" s="259"/>
      <c r="CP428" s="259"/>
      <c r="CQ428" s="259"/>
      <c r="CR428" s="259"/>
      <c r="CS428" s="259"/>
      <c r="CT428" s="259"/>
      <c r="CU428" s="259"/>
      <c r="CV428" s="259"/>
      <c r="CW428" s="259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259"/>
      <c r="BP429" s="259"/>
      <c r="BQ429" s="259"/>
      <c r="BR429" s="259"/>
      <c r="BS429" s="259"/>
      <c r="BT429" s="259"/>
      <c r="BU429" s="259"/>
      <c r="BV429" s="259"/>
      <c r="BW429" s="259"/>
      <c r="BX429" s="259"/>
      <c r="BY429" s="259"/>
      <c r="BZ429" s="260"/>
      <c r="CA429" s="259"/>
      <c r="CB429" s="259"/>
      <c r="CC429" s="259"/>
      <c r="CD429" s="259"/>
      <c r="CE429" s="259"/>
      <c r="CF429" s="259"/>
      <c r="CG429" s="259"/>
      <c r="CH429" s="259"/>
      <c r="CI429" s="259"/>
      <c r="CJ429" s="259"/>
      <c r="CK429" s="259"/>
      <c r="CL429" s="259"/>
      <c r="CM429" s="259"/>
      <c r="CN429" s="259"/>
      <c r="CO429" s="259"/>
      <c r="CP429" s="259"/>
      <c r="CQ429" s="259"/>
      <c r="CR429" s="259"/>
      <c r="CS429" s="259"/>
      <c r="CT429" s="259"/>
      <c r="CU429" s="259"/>
      <c r="CV429" s="259"/>
      <c r="CW429" s="259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259"/>
      <c r="BP430" s="259"/>
      <c r="BQ430" s="259"/>
      <c r="BR430" s="259"/>
      <c r="BS430" s="259"/>
      <c r="BT430" s="259"/>
      <c r="BU430" s="259"/>
      <c r="BV430" s="259"/>
      <c r="BW430" s="259"/>
      <c r="BX430" s="259"/>
      <c r="BY430" s="259"/>
      <c r="BZ430" s="260"/>
      <c r="CA430" s="259"/>
      <c r="CB430" s="259"/>
      <c r="CC430" s="259"/>
      <c r="CD430" s="259"/>
      <c r="CE430" s="259"/>
      <c r="CF430" s="259"/>
      <c r="CG430" s="259"/>
      <c r="CH430" s="259"/>
      <c r="CI430" s="259"/>
      <c r="CJ430" s="259"/>
      <c r="CK430" s="259"/>
      <c r="CL430" s="259"/>
      <c r="CM430" s="259"/>
      <c r="CN430" s="259"/>
      <c r="CO430" s="259"/>
      <c r="CP430" s="259"/>
      <c r="CQ430" s="259"/>
      <c r="CR430" s="259"/>
      <c r="CS430" s="259"/>
      <c r="CT430" s="259"/>
      <c r="CU430" s="259"/>
      <c r="CV430" s="259"/>
      <c r="CW430" s="259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259"/>
      <c r="BP431" s="259"/>
      <c r="BQ431" s="259"/>
      <c r="BR431" s="259"/>
      <c r="BS431" s="259"/>
      <c r="BT431" s="259"/>
      <c r="BU431" s="259"/>
      <c r="BV431" s="259"/>
      <c r="BW431" s="259"/>
      <c r="BX431" s="259"/>
      <c r="BY431" s="259"/>
      <c r="BZ431" s="260"/>
      <c r="CA431" s="259"/>
      <c r="CB431" s="259"/>
      <c r="CC431" s="259"/>
      <c r="CD431" s="259"/>
      <c r="CE431" s="259"/>
      <c r="CF431" s="259"/>
      <c r="CG431" s="259"/>
      <c r="CH431" s="259"/>
      <c r="CI431" s="259"/>
      <c r="CJ431" s="259"/>
      <c r="CK431" s="259"/>
      <c r="CL431" s="259"/>
      <c r="CM431" s="259"/>
      <c r="CN431" s="259"/>
      <c r="CO431" s="259"/>
      <c r="CP431" s="259"/>
      <c r="CQ431" s="259"/>
      <c r="CR431" s="259"/>
      <c r="CS431" s="259"/>
      <c r="CT431" s="259"/>
      <c r="CU431" s="259"/>
      <c r="CV431" s="259"/>
      <c r="CW431" s="259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259"/>
      <c r="BP432" s="259"/>
      <c r="BQ432" s="259"/>
      <c r="BR432" s="259"/>
      <c r="BS432" s="259"/>
      <c r="BT432" s="259"/>
      <c r="BU432" s="259"/>
      <c r="BV432" s="259"/>
      <c r="BW432" s="259"/>
      <c r="BX432" s="259"/>
      <c r="BY432" s="259"/>
      <c r="BZ432" s="260"/>
      <c r="CA432" s="259"/>
      <c r="CB432" s="259"/>
      <c r="CC432" s="259"/>
      <c r="CD432" s="259"/>
      <c r="CE432" s="259"/>
      <c r="CF432" s="259"/>
      <c r="CG432" s="259"/>
      <c r="CH432" s="259"/>
      <c r="CI432" s="259"/>
      <c r="CJ432" s="259"/>
      <c r="CK432" s="259"/>
      <c r="CL432" s="259"/>
      <c r="CM432" s="259"/>
      <c r="CN432" s="259"/>
      <c r="CO432" s="259"/>
      <c r="CP432" s="259"/>
      <c r="CQ432" s="259"/>
      <c r="CR432" s="259"/>
      <c r="CS432" s="259"/>
      <c r="CT432" s="259"/>
      <c r="CU432" s="259"/>
      <c r="CV432" s="259"/>
      <c r="CW432" s="259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259"/>
      <c r="BP433" s="259"/>
      <c r="BQ433" s="259"/>
      <c r="BR433" s="259"/>
      <c r="BS433" s="259"/>
      <c r="BT433" s="259"/>
      <c r="BU433" s="259"/>
      <c r="BV433" s="259"/>
      <c r="BW433" s="259"/>
      <c r="BX433" s="259"/>
      <c r="BY433" s="259"/>
      <c r="BZ433" s="260"/>
      <c r="CA433" s="259"/>
      <c r="CB433" s="259"/>
      <c r="CC433" s="259"/>
      <c r="CD433" s="259"/>
      <c r="CE433" s="259"/>
      <c r="CF433" s="259"/>
      <c r="CG433" s="259"/>
      <c r="CH433" s="259"/>
      <c r="CI433" s="259"/>
      <c r="CJ433" s="259"/>
      <c r="CK433" s="259"/>
      <c r="CL433" s="259"/>
      <c r="CM433" s="259"/>
      <c r="CN433" s="259"/>
      <c r="CO433" s="259"/>
      <c r="CP433" s="259"/>
      <c r="CQ433" s="259"/>
      <c r="CR433" s="259"/>
      <c r="CS433" s="259"/>
      <c r="CT433" s="259"/>
      <c r="CU433" s="259"/>
      <c r="CV433" s="259"/>
      <c r="CW433" s="259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259"/>
      <c r="BP434" s="259"/>
      <c r="BQ434" s="259"/>
      <c r="BR434" s="259"/>
      <c r="BS434" s="259"/>
      <c r="BT434" s="259"/>
      <c r="BU434" s="259"/>
      <c r="BV434" s="259"/>
      <c r="BW434" s="259"/>
      <c r="BX434" s="259"/>
      <c r="BY434" s="259"/>
      <c r="BZ434" s="260"/>
      <c r="CA434" s="259"/>
      <c r="CB434" s="259"/>
      <c r="CC434" s="259"/>
      <c r="CD434" s="259"/>
      <c r="CE434" s="259"/>
      <c r="CF434" s="259"/>
      <c r="CG434" s="259"/>
      <c r="CH434" s="259"/>
      <c r="CI434" s="259"/>
      <c r="CJ434" s="259"/>
      <c r="CK434" s="259"/>
      <c r="CL434" s="259"/>
      <c r="CM434" s="259"/>
      <c r="CN434" s="259"/>
      <c r="CO434" s="259"/>
      <c r="CP434" s="259"/>
      <c r="CQ434" s="259"/>
      <c r="CR434" s="259"/>
      <c r="CS434" s="259"/>
      <c r="CT434" s="259"/>
      <c r="CU434" s="259"/>
      <c r="CV434" s="259"/>
      <c r="CW434" s="259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259"/>
      <c r="BP435" s="259"/>
      <c r="BQ435" s="259"/>
      <c r="BR435" s="259"/>
      <c r="BS435" s="259"/>
      <c r="BT435" s="259"/>
      <c r="BU435" s="259"/>
      <c r="BV435" s="259"/>
      <c r="BW435" s="259"/>
      <c r="BX435" s="259"/>
      <c r="BY435" s="259"/>
      <c r="BZ435" s="260"/>
      <c r="CA435" s="259"/>
      <c r="CB435" s="259"/>
      <c r="CC435" s="259"/>
      <c r="CD435" s="259"/>
      <c r="CE435" s="259"/>
      <c r="CF435" s="259"/>
      <c r="CG435" s="259"/>
      <c r="CH435" s="259"/>
      <c r="CI435" s="259"/>
      <c r="CJ435" s="259"/>
      <c r="CK435" s="259"/>
      <c r="CL435" s="259"/>
      <c r="CM435" s="259"/>
      <c r="CN435" s="259"/>
      <c r="CO435" s="259"/>
      <c r="CP435" s="259"/>
      <c r="CQ435" s="259"/>
      <c r="CR435" s="259"/>
      <c r="CS435" s="259"/>
      <c r="CT435" s="259"/>
      <c r="CU435" s="259"/>
      <c r="CV435" s="259"/>
      <c r="CW435" s="259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259"/>
      <c r="BP436" s="259"/>
      <c r="BQ436" s="259"/>
      <c r="BR436" s="259"/>
      <c r="BS436" s="259"/>
      <c r="BT436" s="259"/>
      <c r="BU436" s="259"/>
      <c r="BV436" s="259"/>
      <c r="BW436" s="259"/>
      <c r="BX436" s="259"/>
      <c r="BY436" s="259"/>
      <c r="BZ436" s="260"/>
      <c r="CA436" s="259"/>
      <c r="CB436" s="259"/>
      <c r="CC436" s="259"/>
      <c r="CD436" s="259"/>
      <c r="CE436" s="259"/>
      <c r="CF436" s="259"/>
      <c r="CG436" s="259"/>
      <c r="CH436" s="259"/>
      <c r="CI436" s="259"/>
      <c r="CJ436" s="259"/>
      <c r="CK436" s="259"/>
      <c r="CL436" s="259"/>
      <c r="CM436" s="259"/>
      <c r="CN436" s="259"/>
      <c r="CO436" s="259"/>
      <c r="CP436" s="259"/>
      <c r="CQ436" s="259"/>
      <c r="CR436" s="259"/>
      <c r="CS436" s="259"/>
      <c r="CT436" s="259"/>
      <c r="CU436" s="259"/>
      <c r="CV436" s="259"/>
      <c r="CW436" s="259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259"/>
      <c r="BP437" s="259"/>
      <c r="BQ437" s="259"/>
      <c r="BR437" s="259"/>
      <c r="BS437" s="259"/>
      <c r="BT437" s="259"/>
      <c r="BU437" s="259"/>
      <c r="BV437" s="259"/>
      <c r="BW437" s="259"/>
      <c r="BX437" s="259"/>
      <c r="BY437" s="259"/>
      <c r="BZ437" s="260"/>
      <c r="CA437" s="259"/>
      <c r="CB437" s="259"/>
      <c r="CC437" s="259"/>
      <c r="CD437" s="259"/>
      <c r="CE437" s="259"/>
      <c r="CF437" s="259"/>
      <c r="CG437" s="259"/>
      <c r="CH437" s="259"/>
      <c r="CI437" s="259"/>
      <c r="CJ437" s="259"/>
      <c r="CK437" s="259"/>
      <c r="CL437" s="259"/>
      <c r="CM437" s="259"/>
      <c r="CN437" s="259"/>
      <c r="CO437" s="259"/>
      <c r="CP437" s="259"/>
      <c r="CQ437" s="259"/>
      <c r="CR437" s="259"/>
      <c r="CS437" s="259"/>
      <c r="CT437" s="259"/>
      <c r="CU437" s="259"/>
      <c r="CV437" s="259"/>
      <c r="CW437" s="259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259"/>
      <c r="BP438" s="259"/>
      <c r="BQ438" s="259"/>
      <c r="BR438" s="259"/>
      <c r="BS438" s="259"/>
      <c r="BT438" s="259"/>
      <c r="BU438" s="259"/>
      <c r="BV438" s="259"/>
      <c r="BW438" s="259"/>
      <c r="BX438" s="259"/>
      <c r="BY438" s="259"/>
      <c r="BZ438" s="260"/>
      <c r="CA438" s="259"/>
      <c r="CB438" s="259"/>
      <c r="CC438" s="259"/>
      <c r="CD438" s="259"/>
      <c r="CE438" s="259"/>
      <c r="CF438" s="259"/>
      <c r="CG438" s="259"/>
      <c r="CH438" s="259"/>
      <c r="CI438" s="259"/>
      <c r="CJ438" s="259"/>
      <c r="CK438" s="259"/>
      <c r="CL438" s="259"/>
      <c r="CM438" s="259"/>
      <c r="CN438" s="259"/>
      <c r="CO438" s="259"/>
      <c r="CP438" s="259"/>
      <c r="CQ438" s="259"/>
      <c r="CR438" s="259"/>
      <c r="CS438" s="259"/>
      <c r="CT438" s="259"/>
      <c r="CU438" s="259"/>
      <c r="CV438" s="259"/>
      <c r="CW438" s="259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259"/>
      <c r="BP439" s="259"/>
      <c r="BQ439" s="259"/>
      <c r="BR439" s="259"/>
      <c r="BS439" s="259"/>
      <c r="BT439" s="259"/>
      <c r="BU439" s="259"/>
      <c r="BV439" s="259"/>
      <c r="BW439" s="259"/>
      <c r="BX439" s="259"/>
      <c r="BY439" s="259"/>
      <c r="BZ439" s="260"/>
      <c r="CA439" s="259"/>
      <c r="CB439" s="259"/>
      <c r="CC439" s="259"/>
      <c r="CD439" s="259"/>
      <c r="CE439" s="259"/>
      <c r="CF439" s="259"/>
      <c r="CG439" s="259"/>
      <c r="CH439" s="259"/>
      <c r="CI439" s="259"/>
      <c r="CJ439" s="259"/>
      <c r="CK439" s="259"/>
      <c r="CL439" s="259"/>
      <c r="CM439" s="259"/>
      <c r="CN439" s="259"/>
      <c r="CO439" s="259"/>
      <c r="CP439" s="259"/>
      <c r="CQ439" s="259"/>
      <c r="CR439" s="259"/>
      <c r="CS439" s="259"/>
      <c r="CT439" s="259"/>
      <c r="CU439" s="259"/>
      <c r="CV439" s="259"/>
      <c r="CW439" s="259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259"/>
      <c r="BP440" s="259"/>
      <c r="BQ440" s="259"/>
      <c r="BR440" s="259"/>
      <c r="BS440" s="259"/>
      <c r="BT440" s="259"/>
      <c r="BU440" s="259"/>
      <c r="BV440" s="259"/>
      <c r="BW440" s="259"/>
      <c r="BX440" s="259"/>
      <c r="BY440" s="259"/>
      <c r="BZ440" s="260"/>
      <c r="CA440" s="259"/>
      <c r="CB440" s="259"/>
      <c r="CC440" s="259"/>
      <c r="CD440" s="259"/>
      <c r="CE440" s="259"/>
      <c r="CF440" s="259"/>
      <c r="CG440" s="259"/>
      <c r="CH440" s="259"/>
      <c r="CI440" s="259"/>
      <c r="CJ440" s="259"/>
      <c r="CK440" s="259"/>
      <c r="CL440" s="259"/>
      <c r="CM440" s="259"/>
      <c r="CN440" s="259"/>
      <c r="CO440" s="259"/>
      <c r="CP440" s="259"/>
      <c r="CQ440" s="259"/>
      <c r="CR440" s="259"/>
      <c r="CS440" s="259"/>
      <c r="CT440" s="259"/>
      <c r="CU440" s="259"/>
      <c r="CV440" s="259"/>
      <c r="CW440" s="259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259"/>
      <c r="BP441" s="259"/>
      <c r="BQ441" s="259"/>
      <c r="BR441" s="259"/>
      <c r="BS441" s="259"/>
      <c r="BT441" s="259"/>
      <c r="BU441" s="259"/>
      <c r="BV441" s="259"/>
      <c r="BW441" s="259"/>
      <c r="BX441" s="259"/>
      <c r="BY441" s="259"/>
      <c r="BZ441" s="260"/>
      <c r="CA441" s="259"/>
      <c r="CB441" s="259"/>
      <c r="CC441" s="259"/>
      <c r="CD441" s="259"/>
      <c r="CE441" s="259"/>
      <c r="CF441" s="259"/>
      <c r="CG441" s="259"/>
      <c r="CH441" s="259"/>
      <c r="CI441" s="259"/>
      <c r="CJ441" s="259"/>
      <c r="CK441" s="259"/>
      <c r="CL441" s="259"/>
      <c r="CM441" s="259"/>
      <c r="CN441" s="259"/>
      <c r="CO441" s="259"/>
      <c r="CP441" s="259"/>
      <c r="CQ441" s="259"/>
      <c r="CR441" s="259"/>
      <c r="CS441" s="259"/>
      <c r="CT441" s="259"/>
      <c r="CU441" s="259"/>
      <c r="CV441" s="259"/>
      <c r="CW441" s="259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259"/>
      <c r="BP442" s="259"/>
      <c r="BQ442" s="259"/>
      <c r="BR442" s="259"/>
      <c r="BS442" s="259"/>
      <c r="BT442" s="259"/>
      <c r="BU442" s="259"/>
      <c r="BV442" s="259"/>
      <c r="BW442" s="259"/>
      <c r="BX442" s="259"/>
      <c r="BY442" s="259"/>
      <c r="BZ442" s="260"/>
      <c r="CA442" s="259"/>
      <c r="CB442" s="259"/>
      <c r="CC442" s="259"/>
      <c r="CD442" s="259"/>
      <c r="CE442" s="259"/>
      <c r="CF442" s="259"/>
      <c r="CG442" s="259"/>
      <c r="CH442" s="259"/>
      <c r="CI442" s="259"/>
      <c r="CJ442" s="259"/>
      <c r="CK442" s="259"/>
      <c r="CL442" s="259"/>
      <c r="CM442" s="259"/>
      <c r="CN442" s="259"/>
      <c r="CO442" s="259"/>
      <c r="CP442" s="259"/>
      <c r="CQ442" s="259"/>
      <c r="CR442" s="259"/>
      <c r="CS442" s="259"/>
      <c r="CT442" s="259"/>
      <c r="CU442" s="259"/>
      <c r="CV442" s="259"/>
      <c r="CW442" s="259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259"/>
      <c r="BP443" s="259"/>
      <c r="BQ443" s="259"/>
      <c r="BR443" s="259"/>
      <c r="BS443" s="259"/>
      <c r="BT443" s="259"/>
      <c r="BU443" s="259"/>
      <c r="BV443" s="259"/>
      <c r="BW443" s="259"/>
      <c r="BX443" s="259"/>
      <c r="BY443" s="259"/>
      <c r="BZ443" s="260"/>
      <c r="CA443" s="259"/>
      <c r="CB443" s="259"/>
      <c r="CC443" s="259"/>
      <c r="CD443" s="259"/>
      <c r="CE443" s="259"/>
      <c r="CF443" s="259"/>
      <c r="CG443" s="259"/>
      <c r="CH443" s="259"/>
      <c r="CI443" s="259"/>
      <c r="CJ443" s="259"/>
      <c r="CK443" s="259"/>
      <c r="CL443" s="259"/>
      <c r="CM443" s="259"/>
      <c r="CN443" s="259"/>
      <c r="CO443" s="259"/>
      <c r="CP443" s="259"/>
      <c r="CQ443" s="259"/>
      <c r="CR443" s="259"/>
      <c r="CS443" s="259"/>
      <c r="CT443" s="259"/>
      <c r="CU443" s="259"/>
      <c r="CV443" s="259"/>
      <c r="CW443" s="259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259"/>
      <c r="BP444" s="259"/>
      <c r="BQ444" s="259"/>
      <c r="BR444" s="259"/>
      <c r="BS444" s="259"/>
      <c r="BT444" s="259"/>
      <c r="BU444" s="259"/>
      <c r="BV444" s="259"/>
      <c r="BW444" s="259"/>
      <c r="BX444" s="259"/>
      <c r="BY444" s="259"/>
      <c r="BZ444" s="260"/>
      <c r="CA444" s="259"/>
      <c r="CB444" s="259"/>
      <c r="CC444" s="259"/>
      <c r="CD444" s="259"/>
      <c r="CE444" s="259"/>
      <c r="CF444" s="259"/>
      <c r="CG444" s="259"/>
      <c r="CH444" s="259"/>
      <c r="CI444" s="259"/>
      <c r="CJ444" s="259"/>
      <c r="CK444" s="259"/>
      <c r="CL444" s="259"/>
      <c r="CM444" s="259"/>
      <c r="CN444" s="259"/>
      <c r="CO444" s="259"/>
      <c r="CP444" s="259"/>
      <c r="CQ444" s="259"/>
      <c r="CR444" s="259"/>
      <c r="CS444" s="259"/>
      <c r="CT444" s="259"/>
      <c r="CU444" s="259"/>
      <c r="CV444" s="259"/>
      <c r="CW444" s="259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259"/>
      <c r="BP445" s="259"/>
      <c r="BQ445" s="259"/>
      <c r="BR445" s="259"/>
      <c r="BS445" s="259"/>
      <c r="BT445" s="259"/>
      <c r="BU445" s="259"/>
      <c r="BV445" s="259"/>
      <c r="BW445" s="259"/>
      <c r="BX445" s="259"/>
      <c r="BY445" s="259"/>
      <c r="BZ445" s="260"/>
      <c r="CA445" s="259"/>
      <c r="CB445" s="259"/>
      <c r="CC445" s="259"/>
      <c r="CD445" s="259"/>
      <c r="CE445" s="259"/>
      <c r="CF445" s="259"/>
      <c r="CG445" s="259"/>
      <c r="CH445" s="259"/>
      <c r="CI445" s="259"/>
      <c r="CJ445" s="259"/>
      <c r="CK445" s="259"/>
      <c r="CL445" s="259"/>
      <c r="CM445" s="259"/>
      <c r="CN445" s="259"/>
      <c r="CO445" s="259"/>
      <c r="CP445" s="259"/>
      <c r="CQ445" s="259"/>
      <c r="CR445" s="259"/>
      <c r="CS445" s="259"/>
      <c r="CT445" s="259"/>
      <c r="CU445" s="259"/>
      <c r="CV445" s="259"/>
      <c r="CW445" s="259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259"/>
      <c r="BP446" s="259"/>
      <c r="BQ446" s="259"/>
      <c r="BR446" s="259"/>
      <c r="BS446" s="259"/>
      <c r="BT446" s="259"/>
      <c r="BU446" s="259"/>
      <c r="BV446" s="259"/>
      <c r="BW446" s="259"/>
      <c r="BX446" s="259"/>
      <c r="BY446" s="259"/>
      <c r="BZ446" s="260"/>
      <c r="CA446" s="259"/>
      <c r="CB446" s="259"/>
      <c r="CC446" s="259"/>
      <c r="CD446" s="259"/>
      <c r="CE446" s="259"/>
      <c r="CF446" s="259"/>
      <c r="CG446" s="259"/>
      <c r="CH446" s="259"/>
      <c r="CI446" s="259"/>
      <c r="CJ446" s="259"/>
      <c r="CK446" s="259"/>
      <c r="CL446" s="259"/>
      <c r="CM446" s="259"/>
      <c r="CN446" s="259"/>
      <c r="CO446" s="259"/>
      <c r="CP446" s="259"/>
      <c r="CQ446" s="259"/>
      <c r="CR446" s="259"/>
      <c r="CS446" s="259"/>
      <c r="CT446" s="259"/>
      <c r="CU446" s="259"/>
      <c r="CV446" s="259"/>
      <c r="CW446" s="259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259"/>
      <c r="BP447" s="259"/>
      <c r="BQ447" s="259"/>
      <c r="BR447" s="259"/>
      <c r="BS447" s="259"/>
      <c r="BT447" s="259"/>
      <c r="BU447" s="259"/>
      <c r="BV447" s="259"/>
      <c r="BW447" s="259"/>
      <c r="BX447" s="259"/>
      <c r="BY447" s="259"/>
      <c r="BZ447" s="260"/>
      <c r="CA447" s="259"/>
      <c r="CB447" s="259"/>
      <c r="CC447" s="259"/>
      <c r="CD447" s="259"/>
      <c r="CE447" s="259"/>
      <c r="CF447" s="259"/>
      <c r="CG447" s="259"/>
      <c r="CH447" s="259"/>
      <c r="CI447" s="259"/>
      <c r="CJ447" s="259"/>
      <c r="CK447" s="259"/>
      <c r="CL447" s="259"/>
      <c r="CM447" s="259"/>
      <c r="CN447" s="259"/>
      <c r="CO447" s="259"/>
      <c r="CP447" s="259"/>
      <c r="CQ447" s="259"/>
      <c r="CR447" s="259"/>
      <c r="CS447" s="259"/>
      <c r="CT447" s="259"/>
      <c r="CU447" s="259"/>
      <c r="CV447" s="259"/>
      <c r="CW447" s="259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259"/>
      <c r="BP448" s="259"/>
      <c r="BQ448" s="259"/>
      <c r="BR448" s="259"/>
      <c r="BS448" s="259"/>
      <c r="BT448" s="259"/>
      <c r="BU448" s="259"/>
      <c r="BV448" s="259"/>
      <c r="BW448" s="259"/>
      <c r="BX448" s="259"/>
      <c r="BY448" s="259"/>
      <c r="BZ448" s="260"/>
      <c r="CA448" s="259"/>
      <c r="CB448" s="259"/>
      <c r="CC448" s="259"/>
      <c r="CD448" s="259"/>
      <c r="CE448" s="259"/>
      <c r="CF448" s="259"/>
      <c r="CG448" s="259"/>
      <c r="CH448" s="259"/>
      <c r="CI448" s="259"/>
      <c r="CJ448" s="259"/>
      <c r="CK448" s="259"/>
      <c r="CL448" s="259"/>
      <c r="CM448" s="259"/>
      <c r="CN448" s="259"/>
      <c r="CO448" s="259"/>
      <c r="CP448" s="259"/>
      <c r="CQ448" s="259"/>
      <c r="CR448" s="259"/>
      <c r="CS448" s="259"/>
      <c r="CT448" s="259"/>
      <c r="CU448" s="259"/>
      <c r="CV448" s="259"/>
      <c r="CW448" s="259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259"/>
      <c r="BP449" s="259"/>
      <c r="BQ449" s="259"/>
      <c r="BR449" s="259"/>
      <c r="BS449" s="259"/>
      <c r="BT449" s="259"/>
      <c r="BU449" s="259"/>
      <c r="BV449" s="259"/>
      <c r="BW449" s="259"/>
      <c r="BX449" s="259"/>
      <c r="BY449" s="259"/>
      <c r="BZ449" s="260"/>
      <c r="CA449" s="259"/>
      <c r="CB449" s="259"/>
      <c r="CC449" s="259"/>
      <c r="CD449" s="259"/>
      <c r="CE449" s="259"/>
      <c r="CF449" s="259"/>
      <c r="CG449" s="259"/>
      <c r="CH449" s="259"/>
      <c r="CI449" s="259"/>
      <c r="CJ449" s="259"/>
      <c r="CK449" s="259"/>
      <c r="CL449" s="259"/>
      <c r="CM449" s="259"/>
      <c r="CN449" s="259"/>
      <c r="CO449" s="259"/>
      <c r="CP449" s="259"/>
      <c r="CQ449" s="259"/>
      <c r="CR449" s="259"/>
      <c r="CS449" s="259"/>
      <c r="CT449" s="259"/>
      <c r="CU449" s="259"/>
      <c r="CV449" s="259"/>
      <c r="CW449" s="259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259"/>
      <c r="BP450" s="259"/>
      <c r="BQ450" s="259"/>
      <c r="BR450" s="259"/>
      <c r="BS450" s="259"/>
      <c r="BT450" s="259"/>
      <c r="BU450" s="259"/>
      <c r="BV450" s="259"/>
      <c r="BW450" s="259"/>
      <c r="BX450" s="259"/>
      <c r="BY450" s="259"/>
      <c r="BZ450" s="260"/>
      <c r="CA450" s="259"/>
      <c r="CB450" s="259"/>
      <c r="CC450" s="259"/>
      <c r="CD450" s="259"/>
      <c r="CE450" s="259"/>
      <c r="CF450" s="259"/>
      <c r="CG450" s="259"/>
      <c r="CH450" s="259"/>
      <c r="CI450" s="259"/>
      <c r="CJ450" s="259"/>
      <c r="CK450" s="259"/>
      <c r="CL450" s="259"/>
      <c r="CM450" s="259"/>
      <c r="CN450" s="259"/>
      <c r="CO450" s="259"/>
      <c r="CP450" s="259"/>
      <c r="CQ450" s="259"/>
      <c r="CR450" s="259"/>
      <c r="CS450" s="259"/>
      <c r="CT450" s="259"/>
      <c r="CU450" s="259"/>
      <c r="CV450" s="259"/>
      <c r="CW450" s="259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259"/>
      <c r="BP451" s="259"/>
      <c r="BQ451" s="259"/>
      <c r="BR451" s="259"/>
      <c r="BS451" s="259"/>
      <c r="BT451" s="259"/>
      <c r="BU451" s="259"/>
      <c r="BV451" s="259"/>
      <c r="BW451" s="259"/>
      <c r="BX451" s="259"/>
      <c r="BY451" s="259"/>
      <c r="BZ451" s="260"/>
      <c r="CA451" s="259"/>
      <c r="CB451" s="259"/>
      <c r="CC451" s="259"/>
      <c r="CD451" s="259"/>
      <c r="CE451" s="259"/>
      <c r="CF451" s="259"/>
      <c r="CG451" s="259"/>
      <c r="CH451" s="259"/>
      <c r="CI451" s="259"/>
      <c r="CJ451" s="259"/>
      <c r="CK451" s="259"/>
      <c r="CL451" s="259"/>
      <c r="CM451" s="259"/>
      <c r="CN451" s="259"/>
      <c r="CO451" s="259"/>
      <c r="CP451" s="259"/>
      <c r="CQ451" s="259"/>
      <c r="CR451" s="259"/>
      <c r="CS451" s="259"/>
      <c r="CT451" s="259"/>
      <c r="CU451" s="259"/>
      <c r="CV451" s="259"/>
      <c r="CW451" s="259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259"/>
      <c r="BP452" s="259"/>
      <c r="BQ452" s="259"/>
      <c r="BR452" s="259"/>
      <c r="BS452" s="259"/>
      <c r="BT452" s="259"/>
      <c r="BU452" s="259"/>
      <c r="BV452" s="259"/>
      <c r="BW452" s="259"/>
      <c r="BX452" s="259"/>
      <c r="BY452" s="259"/>
      <c r="BZ452" s="260"/>
      <c r="CA452" s="259"/>
      <c r="CB452" s="259"/>
      <c r="CC452" s="259"/>
      <c r="CD452" s="259"/>
      <c r="CE452" s="259"/>
      <c r="CF452" s="259"/>
      <c r="CG452" s="259"/>
      <c r="CH452" s="259"/>
      <c r="CI452" s="259"/>
      <c r="CJ452" s="259"/>
      <c r="CK452" s="259"/>
      <c r="CL452" s="259"/>
      <c r="CM452" s="259"/>
      <c r="CN452" s="259"/>
      <c r="CO452" s="259"/>
      <c r="CP452" s="259"/>
      <c r="CQ452" s="259"/>
      <c r="CR452" s="259"/>
      <c r="CS452" s="259"/>
      <c r="CT452" s="259"/>
      <c r="CU452" s="259"/>
      <c r="CV452" s="259"/>
      <c r="CW452" s="259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259"/>
      <c r="BP453" s="259"/>
      <c r="BQ453" s="259"/>
      <c r="BR453" s="259"/>
      <c r="BS453" s="259"/>
      <c r="BT453" s="259"/>
      <c r="BU453" s="259"/>
      <c r="BV453" s="259"/>
      <c r="BW453" s="259"/>
      <c r="BX453" s="259"/>
      <c r="BY453" s="259"/>
      <c r="BZ453" s="260"/>
      <c r="CA453" s="259"/>
      <c r="CB453" s="259"/>
      <c r="CC453" s="259"/>
      <c r="CD453" s="259"/>
      <c r="CE453" s="259"/>
      <c r="CF453" s="259"/>
      <c r="CG453" s="259"/>
      <c r="CH453" s="259"/>
      <c r="CI453" s="259"/>
      <c r="CJ453" s="259"/>
      <c r="CK453" s="259"/>
      <c r="CL453" s="259"/>
      <c r="CM453" s="259"/>
      <c r="CN453" s="259"/>
      <c r="CO453" s="259"/>
      <c r="CP453" s="259"/>
      <c r="CQ453" s="259"/>
      <c r="CR453" s="259"/>
      <c r="CS453" s="259"/>
      <c r="CT453" s="259"/>
      <c r="CU453" s="259"/>
      <c r="CV453" s="259"/>
      <c r="CW453" s="259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259"/>
      <c r="BP454" s="259"/>
      <c r="BQ454" s="259"/>
      <c r="BR454" s="259"/>
      <c r="BS454" s="259"/>
      <c r="BT454" s="259"/>
      <c r="BU454" s="259"/>
      <c r="BV454" s="259"/>
      <c r="BW454" s="259"/>
      <c r="BX454" s="259"/>
      <c r="BY454" s="259"/>
      <c r="BZ454" s="260"/>
      <c r="CA454" s="259"/>
      <c r="CB454" s="259"/>
      <c r="CC454" s="259"/>
      <c r="CD454" s="259"/>
      <c r="CE454" s="259"/>
      <c r="CF454" s="259"/>
      <c r="CG454" s="259"/>
      <c r="CH454" s="259"/>
      <c r="CI454" s="259"/>
      <c r="CJ454" s="259"/>
      <c r="CK454" s="259"/>
      <c r="CL454" s="259"/>
      <c r="CM454" s="259"/>
      <c r="CN454" s="259"/>
      <c r="CO454" s="259"/>
      <c r="CP454" s="259"/>
      <c r="CQ454" s="259"/>
      <c r="CR454" s="259"/>
      <c r="CS454" s="259"/>
      <c r="CT454" s="259"/>
      <c r="CU454" s="259"/>
      <c r="CV454" s="259"/>
      <c r="CW454" s="259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259"/>
      <c r="BP455" s="259"/>
      <c r="BQ455" s="259"/>
      <c r="BR455" s="259"/>
      <c r="BS455" s="259"/>
      <c r="BT455" s="259"/>
      <c r="BU455" s="259"/>
      <c r="BV455" s="259"/>
      <c r="BW455" s="259"/>
      <c r="BX455" s="259"/>
      <c r="BY455" s="259"/>
      <c r="BZ455" s="260"/>
      <c r="CA455" s="259"/>
      <c r="CB455" s="259"/>
      <c r="CC455" s="259"/>
      <c r="CD455" s="259"/>
      <c r="CE455" s="259"/>
      <c r="CF455" s="259"/>
      <c r="CG455" s="259"/>
      <c r="CH455" s="259"/>
      <c r="CI455" s="259"/>
      <c r="CJ455" s="259"/>
      <c r="CK455" s="259"/>
      <c r="CL455" s="259"/>
      <c r="CM455" s="259"/>
      <c r="CN455" s="259"/>
      <c r="CO455" s="259"/>
      <c r="CP455" s="259"/>
      <c r="CQ455" s="259"/>
      <c r="CR455" s="259"/>
      <c r="CS455" s="259"/>
      <c r="CT455" s="259"/>
      <c r="CU455" s="259"/>
      <c r="CV455" s="259"/>
      <c r="CW455" s="259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259"/>
      <c r="BP456" s="259"/>
      <c r="BQ456" s="259"/>
      <c r="BR456" s="259"/>
      <c r="BS456" s="259"/>
      <c r="BT456" s="259"/>
      <c r="BU456" s="259"/>
      <c r="BV456" s="259"/>
      <c r="BW456" s="259"/>
      <c r="BX456" s="259"/>
      <c r="BY456" s="259"/>
      <c r="BZ456" s="260"/>
      <c r="CA456" s="259"/>
      <c r="CB456" s="259"/>
      <c r="CC456" s="259"/>
      <c r="CD456" s="259"/>
      <c r="CE456" s="259"/>
      <c r="CF456" s="259"/>
      <c r="CG456" s="259"/>
      <c r="CH456" s="259"/>
      <c r="CI456" s="259"/>
      <c r="CJ456" s="259"/>
      <c r="CK456" s="259"/>
      <c r="CL456" s="259"/>
      <c r="CM456" s="259"/>
      <c r="CN456" s="259"/>
      <c r="CO456" s="259"/>
      <c r="CP456" s="259"/>
      <c r="CQ456" s="259"/>
      <c r="CR456" s="259"/>
      <c r="CS456" s="259"/>
      <c r="CT456" s="259"/>
      <c r="CU456" s="259"/>
      <c r="CV456" s="259"/>
      <c r="CW456" s="259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259"/>
      <c r="BP457" s="259"/>
      <c r="BQ457" s="259"/>
      <c r="BR457" s="259"/>
      <c r="BS457" s="259"/>
      <c r="BT457" s="259"/>
      <c r="BU457" s="259"/>
      <c r="BV457" s="259"/>
      <c r="BW457" s="259"/>
      <c r="BX457" s="259"/>
      <c r="BY457" s="259"/>
      <c r="BZ457" s="260"/>
      <c r="CA457" s="259"/>
      <c r="CB457" s="259"/>
      <c r="CC457" s="259"/>
      <c r="CD457" s="259"/>
      <c r="CE457" s="259"/>
      <c r="CF457" s="259"/>
      <c r="CG457" s="259"/>
      <c r="CH457" s="259"/>
      <c r="CI457" s="259"/>
      <c r="CJ457" s="259"/>
      <c r="CK457" s="259"/>
      <c r="CL457" s="259"/>
      <c r="CM457" s="259"/>
      <c r="CN457" s="259"/>
      <c r="CO457" s="259"/>
      <c r="CP457" s="259"/>
      <c r="CQ457" s="259"/>
      <c r="CR457" s="259"/>
      <c r="CS457" s="259"/>
      <c r="CT457" s="259"/>
      <c r="CU457" s="259"/>
      <c r="CV457" s="259"/>
      <c r="CW457" s="259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259"/>
      <c r="BP458" s="259"/>
      <c r="BQ458" s="259"/>
      <c r="BR458" s="259"/>
      <c r="BS458" s="259"/>
      <c r="BT458" s="259"/>
      <c r="BU458" s="259"/>
      <c r="BV458" s="259"/>
      <c r="BW458" s="259"/>
      <c r="BX458" s="259"/>
      <c r="BY458" s="259"/>
      <c r="BZ458" s="260"/>
      <c r="CA458" s="259"/>
      <c r="CB458" s="259"/>
      <c r="CC458" s="259"/>
      <c r="CD458" s="259"/>
      <c r="CE458" s="259"/>
      <c r="CF458" s="259"/>
      <c r="CG458" s="259"/>
      <c r="CH458" s="259"/>
      <c r="CI458" s="259"/>
      <c r="CJ458" s="259"/>
      <c r="CK458" s="259"/>
      <c r="CL458" s="259"/>
      <c r="CM458" s="259"/>
      <c r="CN458" s="259"/>
      <c r="CO458" s="259"/>
      <c r="CP458" s="259"/>
      <c r="CQ458" s="259"/>
      <c r="CR458" s="259"/>
      <c r="CS458" s="259"/>
      <c r="CT458" s="259"/>
      <c r="CU458" s="259"/>
      <c r="CV458" s="259"/>
      <c r="CW458" s="259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259"/>
      <c r="BP459" s="259"/>
      <c r="BQ459" s="259"/>
      <c r="BR459" s="259"/>
      <c r="BS459" s="259"/>
      <c r="BT459" s="259"/>
      <c r="BU459" s="259"/>
      <c r="BV459" s="259"/>
      <c r="BW459" s="259"/>
      <c r="BX459" s="259"/>
      <c r="BY459" s="259"/>
      <c r="BZ459" s="260"/>
      <c r="CA459" s="259"/>
      <c r="CB459" s="259"/>
      <c r="CC459" s="259"/>
      <c r="CD459" s="259"/>
      <c r="CE459" s="259"/>
      <c r="CF459" s="259"/>
      <c r="CG459" s="259"/>
      <c r="CH459" s="259"/>
      <c r="CI459" s="259"/>
      <c r="CJ459" s="259"/>
      <c r="CK459" s="259"/>
      <c r="CL459" s="259"/>
      <c r="CM459" s="259"/>
      <c r="CN459" s="259"/>
      <c r="CO459" s="259"/>
      <c r="CP459" s="259"/>
      <c r="CQ459" s="259"/>
      <c r="CR459" s="259"/>
      <c r="CS459" s="259"/>
      <c r="CT459" s="259"/>
      <c r="CU459" s="259"/>
      <c r="CV459" s="259"/>
      <c r="CW459" s="259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259"/>
      <c r="BP460" s="259"/>
      <c r="BQ460" s="259"/>
      <c r="BR460" s="259"/>
      <c r="BS460" s="259"/>
      <c r="BT460" s="259"/>
      <c r="BU460" s="259"/>
      <c r="BV460" s="259"/>
      <c r="BW460" s="259"/>
      <c r="BX460" s="259"/>
      <c r="BY460" s="259"/>
      <c r="BZ460" s="260"/>
      <c r="CA460" s="259"/>
      <c r="CB460" s="259"/>
      <c r="CC460" s="259"/>
      <c r="CD460" s="259"/>
      <c r="CE460" s="259"/>
      <c r="CF460" s="259"/>
      <c r="CG460" s="259"/>
      <c r="CH460" s="259"/>
      <c r="CI460" s="259"/>
      <c r="CJ460" s="259"/>
      <c r="CK460" s="259"/>
      <c r="CL460" s="259"/>
      <c r="CM460" s="259"/>
      <c r="CN460" s="259"/>
      <c r="CO460" s="259"/>
      <c r="CP460" s="259"/>
      <c r="CQ460" s="259"/>
      <c r="CR460" s="259"/>
      <c r="CS460" s="259"/>
      <c r="CT460" s="259"/>
      <c r="CU460" s="259"/>
      <c r="CV460" s="259"/>
      <c r="CW460" s="259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259"/>
      <c r="BP461" s="259"/>
      <c r="BQ461" s="259"/>
      <c r="BR461" s="259"/>
      <c r="BS461" s="259"/>
      <c r="BT461" s="259"/>
      <c r="BU461" s="259"/>
      <c r="BV461" s="259"/>
      <c r="BW461" s="259"/>
      <c r="BX461" s="259"/>
      <c r="BY461" s="259"/>
      <c r="BZ461" s="260"/>
      <c r="CA461" s="259"/>
      <c r="CB461" s="259"/>
      <c r="CC461" s="259"/>
      <c r="CD461" s="259"/>
      <c r="CE461" s="259"/>
      <c r="CF461" s="259"/>
      <c r="CG461" s="259"/>
      <c r="CH461" s="259"/>
      <c r="CI461" s="259"/>
      <c r="CJ461" s="259"/>
      <c r="CK461" s="259"/>
      <c r="CL461" s="259"/>
      <c r="CM461" s="259"/>
      <c r="CN461" s="259"/>
      <c r="CO461" s="259"/>
      <c r="CP461" s="259"/>
      <c r="CQ461" s="259"/>
      <c r="CR461" s="259"/>
      <c r="CS461" s="259"/>
      <c r="CT461" s="259"/>
      <c r="CU461" s="259"/>
      <c r="CV461" s="259"/>
      <c r="CW461" s="259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259"/>
      <c r="BP462" s="259"/>
      <c r="BQ462" s="259"/>
      <c r="BR462" s="259"/>
      <c r="BS462" s="259"/>
      <c r="BT462" s="259"/>
      <c r="BU462" s="259"/>
      <c r="BV462" s="259"/>
      <c r="BW462" s="259"/>
      <c r="BX462" s="259"/>
      <c r="BY462" s="259"/>
      <c r="BZ462" s="260"/>
      <c r="CA462" s="259"/>
      <c r="CB462" s="259"/>
      <c r="CC462" s="259"/>
      <c r="CD462" s="259"/>
      <c r="CE462" s="259"/>
      <c r="CF462" s="259"/>
      <c r="CG462" s="259"/>
      <c r="CH462" s="259"/>
      <c r="CI462" s="259"/>
      <c r="CJ462" s="259"/>
      <c r="CK462" s="259"/>
      <c r="CL462" s="259"/>
      <c r="CM462" s="259"/>
      <c r="CN462" s="259"/>
      <c r="CO462" s="259"/>
      <c r="CP462" s="259"/>
      <c r="CQ462" s="259"/>
      <c r="CR462" s="259"/>
      <c r="CS462" s="259"/>
      <c r="CT462" s="259"/>
      <c r="CU462" s="259"/>
      <c r="CV462" s="259"/>
      <c r="CW462" s="259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259"/>
      <c r="BP463" s="259"/>
      <c r="BQ463" s="259"/>
      <c r="BR463" s="259"/>
      <c r="BS463" s="259"/>
      <c r="BT463" s="259"/>
      <c r="BU463" s="259"/>
      <c r="BV463" s="259"/>
      <c r="BW463" s="259"/>
      <c r="BX463" s="259"/>
      <c r="BY463" s="259"/>
      <c r="BZ463" s="260"/>
      <c r="CA463" s="259"/>
      <c r="CB463" s="259"/>
      <c r="CC463" s="259"/>
      <c r="CD463" s="259"/>
      <c r="CE463" s="259"/>
      <c r="CF463" s="259"/>
      <c r="CG463" s="259"/>
      <c r="CH463" s="259"/>
      <c r="CI463" s="259"/>
      <c r="CJ463" s="259"/>
      <c r="CK463" s="259"/>
      <c r="CL463" s="259"/>
      <c r="CM463" s="259"/>
      <c r="CN463" s="259"/>
      <c r="CO463" s="259"/>
      <c r="CP463" s="259"/>
      <c r="CQ463" s="259"/>
      <c r="CR463" s="259"/>
      <c r="CS463" s="259"/>
      <c r="CT463" s="259"/>
      <c r="CU463" s="259"/>
      <c r="CV463" s="259"/>
      <c r="CW463" s="259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259"/>
      <c r="BP464" s="259"/>
      <c r="BQ464" s="259"/>
      <c r="BR464" s="259"/>
      <c r="BS464" s="259"/>
      <c r="BT464" s="259"/>
      <c r="BU464" s="259"/>
      <c r="BV464" s="259"/>
      <c r="BW464" s="259"/>
      <c r="BX464" s="259"/>
      <c r="BY464" s="259"/>
      <c r="BZ464" s="260"/>
      <c r="CA464" s="259"/>
      <c r="CB464" s="259"/>
      <c r="CC464" s="259"/>
      <c r="CD464" s="259"/>
      <c r="CE464" s="259"/>
      <c r="CF464" s="259"/>
      <c r="CG464" s="259"/>
      <c r="CH464" s="259"/>
      <c r="CI464" s="259"/>
      <c r="CJ464" s="259"/>
      <c r="CK464" s="259"/>
      <c r="CL464" s="259"/>
      <c r="CM464" s="259"/>
      <c r="CN464" s="259"/>
      <c r="CO464" s="259"/>
      <c r="CP464" s="259"/>
      <c r="CQ464" s="259"/>
      <c r="CR464" s="259"/>
      <c r="CS464" s="259"/>
      <c r="CT464" s="259"/>
      <c r="CU464" s="259"/>
      <c r="CV464" s="259"/>
      <c r="CW464" s="259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259"/>
      <c r="BP465" s="259"/>
      <c r="BQ465" s="259"/>
      <c r="BR465" s="259"/>
      <c r="BS465" s="259"/>
      <c r="BT465" s="259"/>
      <c r="BU465" s="259"/>
      <c r="BV465" s="259"/>
      <c r="BW465" s="259"/>
      <c r="BX465" s="259"/>
      <c r="BY465" s="259"/>
      <c r="BZ465" s="260"/>
      <c r="CA465" s="259"/>
      <c r="CB465" s="259"/>
      <c r="CC465" s="259"/>
      <c r="CD465" s="259"/>
      <c r="CE465" s="259"/>
      <c r="CF465" s="259"/>
      <c r="CG465" s="259"/>
      <c r="CH465" s="259"/>
      <c r="CI465" s="259"/>
      <c r="CJ465" s="259"/>
      <c r="CK465" s="259"/>
      <c r="CL465" s="259"/>
      <c r="CM465" s="259"/>
      <c r="CN465" s="259"/>
      <c r="CO465" s="259"/>
      <c r="CP465" s="259"/>
      <c r="CQ465" s="259"/>
      <c r="CR465" s="259"/>
      <c r="CS465" s="259"/>
      <c r="CT465" s="259"/>
      <c r="CU465" s="259"/>
      <c r="CV465" s="259"/>
      <c r="CW465" s="259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259"/>
      <c r="BP466" s="259"/>
      <c r="BQ466" s="259"/>
      <c r="BR466" s="259"/>
      <c r="BS466" s="259"/>
      <c r="BT466" s="259"/>
      <c r="BU466" s="259"/>
      <c r="BV466" s="259"/>
      <c r="BW466" s="259"/>
      <c r="BX466" s="259"/>
      <c r="BY466" s="259"/>
      <c r="BZ466" s="260"/>
      <c r="CA466" s="259"/>
      <c r="CB466" s="259"/>
      <c r="CC466" s="259"/>
      <c r="CD466" s="259"/>
      <c r="CE466" s="259"/>
      <c r="CF466" s="259"/>
      <c r="CG466" s="259"/>
      <c r="CH466" s="259"/>
      <c r="CI466" s="259"/>
      <c r="CJ466" s="259"/>
      <c r="CK466" s="259"/>
      <c r="CL466" s="259"/>
      <c r="CM466" s="259"/>
      <c r="CN466" s="259"/>
      <c r="CO466" s="259"/>
      <c r="CP466" s="259"/>
      <c r="CQ466" s="259"/>
      <c r="CR466" s="259"/>
      <c r="CS466" s="259"/>
      <c r="CT466" s="259"/>
      <c r="CU466" s="259"/>
      <c r="CV466" s="259"/>
      <c r="CW466" s="259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259"/>
      <c r="BP467" s="259"/>
      <c r="BQ467" s="259"/>
      <c r="BR467" s="259"/>
      <c r="BS467" s="259"/>
      <c r="BT467" s="259"/>
      <c r="BU467" s="259"/>
      <c r="BV467" s="259"/>
      <c r="BW467" s="259"/>
      <c r="BX467" s="259"/>
      <c r="BY467" s="259"/>
      <c r="BZ467" s="260"/>
      <c r="CA467" s="259"/>
      <c r="CB467" s="259"/>
      <c r="CC467" s="259"/>
      <c r="CD467" s="259"/>
      <c r="CE467" s="259"/>
      <c r="CF467" s="259"/>
      <c r="CG467" s="259"/>
      <c r="CH467" s="259"/>
      <c r="CI467" s="259"/>
      <c r="CJ467" s="259"/>
      <c r="CK467" s="259"/>
      <c r="CL467" s="259"/>
      <c r="CM467" s="259"/>
      <c r="CN467" s="259"/>
      <c r="CO467" s="259"/>
      <c r="CP467" s="259"/>
      <c r="CQ467" s="259"/>
      <c r="CR467" s="259"/>
      <c r="CS467" s="259"/>
      <c r="CT467" s="259"/>
      <c r="CU467" s="259"/>
      <c r="CV467" s="259"/>
      <c r="CW467" s="259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259"/>
      <c r="BP468" s="259"/>
      <c r="BQ468" s="259"/>
      <c r="BR468" s="259"/>
      <c r="BS468" s="259"/>
      <c r="BT468" s="259"/>
      <c r="BU468" s="259"/>
      <c r="BV468" s="259"/>
      <c r="BW468" s="259"/>
      <c r="BX468" s="259"/>
      <c r="BY468" s="259"/>
      <c r="BZ468" s="260"/>
      <c r="CA468" s="259"/>
      <c r="CB468" s="259"/>
      <c r="CC468" s="259"/>
      <c r="CD468" s="259"/>
      <c r="CE468" s="259"/>
      <c r="CF468" s="259"/>
      <c r="CG468" s="259"/>
      <c r="CH468" s="259"/>
      <c r="CI468" s="259"/>
      <c r="CJ468" s="259"/>
      <c r="CK468" s="259"/>
      <c r="CL468" s="259"/>
      <c r="CM468" s="259"/>
      <c r="CN468" s="259"/>
      <c r="CO468" s="259"/>
      <c r="CP468" s="259"/>
      <c r="CQ468" s="259"/>
      <c r="CR468" s="259"/>
      <c r="CS468" s="259"/>
      <c r="CT468" s="259"/>
      <c r="CU468" s="259"/>
      <c r="CV468" s="259"/>
      <c r="CW468" s="259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259"/>
      <c r="BP469" s="259"/>
      <c r="BQ469" s="259"/>
      <c r="BR469" s="259"/>
      <c r="BS469" s="259"/>
      <c r="BT469" s="259"/>
      <c r="BU469" s="259"/>
      <c r="BV469" s="259"/>
      <c r="BW469" s="259"/>
      <c r="BX469" s="259"/>
      <c r="BY469" s="259"/>
      <c r="BZ469" s="260"/>
      <c r="CA469" s="259"/>
      <c r="CB469" s="259"/>
      <c r="CC469" s="259"/>
      <c r="CD469" s="259"/>
      <c r="CE469" s="259"/>
      <c r="CF469" s="259"/>
      <c r="CG469" s="259"/>
      <c r="CH469" s="259"/>
      <c r="CI469" s="259"/>
      <c r="CJ469" s="259"/>
      <c r="CK469" s="259"/>
      <c r="CL469" s="259"/>
      <c r="CM469" s="259"/>
      <c r="CN469" s="259"/>
      <c r="CO469" s="259"/>
      <c r="CP469" s="259"/>
      <c r="CQ469" s="259"/>
      <c r="CR469" s="259"/>
      <c r="CS469" s="259"/>
      <c r="CT469" s="259"/>
      <c r="CU469" s="259"/>
      <c r="CV469" s="259"/>
      <c r="CW469" s="259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259"/>
      <c r="BP470" s="259"/>
      <c r="BQ470" s="259"/>
      <c r="BR470" s="259"/>
      <c r="BS470" s="259"/>
      <c r="BT470" s="259"/>
      <c r="BU470" s="259"/>
      <c r="BV470" s="259"/>
      <c r="BW470" s="259"/>
      <c r="BX470" s="259"/>
      <c r="BY470" s="259"/>
      <c r="BZ470" s="260"/>
      <c r="CA470" s="259"/>
      <c r="CB470" s="259"/>
      <c r="CC470" s="259"/>
      <c r="CD470" s="259"/>
      <c r="CE470" s="259"/>
      <c r="CF470" s="259"/>
      <c r="CG470" s="259"/>
      <c r="CH470" s="259"/>
      <c r="CI470" s="259"/>
      <c r="CJ470" s="259"/>
      <c r="CK470" s="259"/>
      <c r="CL470" s="259"/>
      <c r="CM470" s="259"/>
      <c r="CN470" s="259"/>
      <c r="CO470" s="259"/>
      <c r="CP470" s="259"/>
      <c r="CQ470" s="259"/>
      <c r="CR470" s="259"/>
      <c r="CS470" s="259"/>
      <c r="CT470" s="259"/>
      <c r="CU470" s="259"/>
      <c r="CV470" s="259"/>
      <c r="CW470" s="259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259"/>
      <c r="BP471" s="259"/>
      <c r="BQ471" s="259"/>
      <c r="BR471" s="259"/>
      <c r="BS471" s="259"/>
      <c r="BT471" s="259"/>
      <c r="BU471" s="259"/>
      <c r="BV471" s="259"/>
      <c r="BW471" s="259"/>
      <c r="BX471" s="259"/>
      <c r="BY471" s="259"/>
      <c r="BZ471" s="260"/>
      <c r="CA471" s="259"/>
      <c r="CB471" s="259"/>
      <c r="CC471" s="259"/>
      <c r="CD471" s="259"/>
      <c r="CE471" s="259"/>
      <c r="CF471" s="259"/>
      <c r="CG471" s="259"/>
      <c r="CH471" s="259"/>
      <c r="CI471" s="259"/>
      <c r="CJ471" s="259"/>
      <c r="CK471" s="259"/>
      <c r="CL471" s="259"/>
      <c r="CM471" s="259"/>
      <c r="CN471" s="259"/>
      <c r="CO471" s="259"/>
      <c r="CP471" s="259"/>
      <c r="CQ471" s="259"/>
      <c r="CR471" s="259"/>
      <c r="CS471" s="259"/>
      <c r="CT471" s="259"/>
      <c r="CU471" s="259"/>
      <c r="CV471" s="259"/>
      <c r="CW471" s="259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259"/>
      <c r="BP472" s="259"/>
      <c r="BQ472" s="259"/>
      <c r="BR472" s="259"/>
      <c r="BS472" s="259"/>
      <c r="BT472" s="259"/>
      <c r="BU472" s="259"/>
      <c r="BV472" s="259"/>
      <c r="BW472" s="259"/>
      <c r="BX472" s="259"/>
      <c r="BY472" s="259"/>
      <c r="BZ472" s="260"/>
      <c r="CA472" s="259"/>
      <c r="CB472" s="259"/>
      <c r="CC472" s="259"/>
      <c r="CD472" s="259"/>
      <c r="CE472" s="259"/>
      <c r="CF472" s="259"/>
      <c r="CG472" s="259"/>
      <c r="CH472" s="259"/>
      <c r="CI472" s="259"/>
      <c r="CJ472" s="259"/>
      <c r="CK472" s="259"/>
      <c r="CL472" s="259"/>
      <c r="CM472" s="259"/>
      <c r="CN472" s="259"/>
      <c r="CO472" s="259"/>
      <c r="CP472" s="259"/>
      <c r="CQ472" s="259"/>
      <c r="CR472" s="259"/>
      <c r="CS472" s="259"/>
      <c r="CT472" s="259"/>
      <c r="CU472" s="259"/>
      <c r="CV472" s="259"/>
      <c r="CW472" s="259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259"/>
      <c r="BP473" s="259"/>
      <c r="BQ473" s="259"/>
      <c r="BR473" s="259"/>
      <c r="BS473" s="259"/>
      <c r="BT473" s="259"/>
      <c r="BU473" s="259"/>
      <c r="BV473" s="259"/>
      <c r="BW473" s="259"/>
      <c r="BX473" s="259"/>
      <c r="BY473" s="259"/>
      <c r="BZ473" s="260"/>
      <c r="CA473" s="259"/>
      <c r="CB473" s="259"/>
      <c r="CC473" s="259"/>
      <c r="CD473" s="259"/>
      <c r="CE473" s="259"/>
      <c r="CF473" s="259"/>
      <c r="CG473" s="259"/>
      <c r="CH473" s="259"/>
      <c r="CI473" s="259"/>
      <c r="CJ473" s="259"/>
      <c r="CK473" s="259"/>
      <c r="CL473" s="259"/>
      <c r="CM473" s="259"/>
      <c r="CN473" s="259"/>
      <c r="CO473" s="259"/>
      <c r="CP473" s="259"/>
      <c r="CQ473" s="259"/>
      <c r="CR473" s="259"/>
      <c r="CS473" s="259"/>
      <c r="CT473" s="259"/>
      <c r="CU473" s="259"/>
      <c r="CV473" s="259"/>
      <c r="CW473" s="259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259"/>
      <c r="BP474" s="259"/>
      <c r="BQ474" s="259"/>
      <c r="BR474" s="259"/>
      <c r="BS474" s="259"/>
      <c r="BT474" s="259"/>
      <c r="BU474" s="259"/>
      <c r="BV474" s="259"/>
      <c r="BW474" s="259"/>
      <c r="BX474" s="259"/>
      <c r="BY474" s="259"/>
      <c r="BZ474" s="260"/>
      <c r="CA474" s="259"/>
      <c r="CB474" s="259"/>
      <c r="CC474" s="259"/>
      <c r="CD474" s="259"/>
      <c r="CE474" s="259"/>
      <c r="CF474" s="259"/>
      <c r="CG474" s="259"/>
      <c r="CH474" s="259"/>
      <c r="CI474" s="259"/>
      <c r="CJ474" s="259"/>
      <c r="CK474" s="259"/>
      <c r="CL474" s="259"/>
      <c r="CM474" s="259"/>
      <c r="CN474" s="259"/>
      <c r="CO474" s="259"/>
      <c r="CP474" s="259"/>
      <c r="CQ474" s="259"/>
      <c r="CR474" s="259"/>
      <c r="CS474" s="259"/>
      <c r="CT474" s="259"/>
      <c r="CU474" s="259"/>
      <c r="CV474" s="259"/>
      <c r="CW474" s="259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259"/>
      <c r="BP475" s="259"/>
      <c r="BQ475" s="259"/>
      <c r="BR475" s="259"/>
      <c r="BS475" s="259"/>
      <c r="BT475" s="259"/>
      <c r="BU475" s="259"/>
      <c r="BV475" s="259"/>
      <c r="BW475" s="259"/>
      <c r="BX475" s="259"/>
      <c r="BY475" s="259"/>
      <c r="BZ475" s="260"/>
      <c r="CA475" s="259"/>
      <c r="CB475" s="259"/>
      <c r="CC475" s="259"/>
      <c r="CD475" s="259"/>
      <c r="CE475" s="259"/>
      <c r="CF475" s="259"/>
      <c r="CG475" s="259"/>
      <c r="CH475" s="259"/>
      <c r="CI475" s="259"/>
      <c r="CJ475" s="259"/>
      <c r="CK475" s="259"/>
      <c r="CL475" s="259"/>
      <c r="CM475" s="259"/>
      <c r="CN475" s="259"/>
      <c r="CO475" s="259"/>
      <c r="CP475" s="259"/>
      <c r="CQ475" s="259"/>
      <c r="CR475" s="259"/>
      <c r="CS475" s="259"/>
      <c r="CT475" s="259"/>
      <c r="CU475" s="259"/>
      <c r="CV475" s="259"/>
      <c r="CW475" s="259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259"/>
      <c r="BP476" s="259"/>
      <c r="BQ476" s="259"/>
      <c r="BR476" s="259"/>
      <c r="BS476" s="259"/>
      <c r="BT476" s="259"/>
      <c r="BU476" s="259"/>
      <c r="BV476" s="259"/>
      <c r="BW476" s="259"/>
      <c r="BX476" s="259"/>
      <c r="BY476" s="259"/>
      <c r="BZ476" s="260"/>
      <c r="CA476" s="259"/>
      <c r="CB476" s="259"/>
      <c r="CC476" s="259"/>
      <c r="CD476" s="259"/>
      <c r="CE476" s="259"/>
      <c r="CF476" s="259"/>
      <c r="CG476" s="259"/>
      <c r="CH476" s="259"/>
      <c r="CI476" s="259"/>
      <c r="CJ476" s="259"/>
      <c r="CK476" s="259"/>
      <c r="CL476" s="259"/>
      <c r="CM476" s="259"/>
      <c r="CN476" s="259"/>
      <c r="CO476" s="259"/>
      <c r="CP476" s="259"/>
      <c r="CQ476" s="259"/>
      <c r="CR476" s="259"/>
      <c r="CS476" s="259"/>
      <c r="CT476" s="259"/>
      <c r="CU476" s="259"/>
      <c r="CV476" s="259"/>
      <c r="CW476" s="259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259"/>
      <c r="BP477" s="259"/>
      <c r="BQ477" s="259"/>
      <c r="BR477" s="259"/>
      <c r="BS477" s="259"/>
      <c r="BT477" s="259"/>
      <c r="BU477" s="259"/>
      <c r="BV477" s="259"/>
      <c r="BW477" s="259"/>
      <c r="BX477" s="259"/>
      <c r="BY477" s="259"/>
      <c r="BZ477" s="260"/>
      <c r="CA477" s="259"/>
      <c r="CB477" s="259"/>
      <c r="CC477" s="259"/>
      <c r="CD477" s="259"/>
      <c r="CE477" s="259"/>
      <c r="CF477" s="259"/>
      <c r="CG477" s="259"/>
      <c r="CH477" s="259"/>
      <c r="CI477" s="259"/>
      <c r="CJ477" s="259"/>
      <c r="CK477" s="259"/>
      <c r="CL477" s="259"/>
      <c r="CM477" s="259"/>
      <c r="CN477" s="259"/>
      <c r="CO477" s="259"/>
      <c r="CP477" s="259"/>
      <c r="CQ477" s="259"/>
      <c r="CR477" s="259"/>
      <c r="CS477" s="259"/>
      <c r="CT477" s="259"/>
      <c r="CU477" s="259"/>
      <c r="CV477" s="259"/>
      <c r="CW477" s="259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259"/>
      <c r="BP478" s="259"/>
      <c r="BQ478" s="259"/>
      <c r="BR478" s="259"/>
      <c r="BS478" s="259"/>
      <c r="BT478" s="259"/>
      <c r="BU478" s="259"/>
      <c r="BV478" s="259"/>
      <c r="BW478" s="259"/>
      <c r="BX478" s="259"/>
      <c r="BY478" s="259"/>
      <c r="BZ478" s="260"/>
      <c r="CA478" s="259"/>
      <c r="CB478" s="259"/>
      <c r="CC478" s="259"/>
      <c r="CD478" s="259"/>
      <c r="CE478" s="259"/>
      <c r="CF478" s="259"/>
      <c r="CG478" s="259"/>
      <c r="CH478" s="259"/>
      <c r="CI478" s="259"/>
      <c r="CJ478" s="259"/>
      <c r="CK478" s="259"/>
      <c r="CL478" s="259"/>
      <c r="CM478" s="259"/>
      <c r="CN478" s="259"/>
      <c r="CO478" s="259"/>
      <c r="CP478" s="259"/>
      <c r="CQ478" s="259"/>
      <c r="CR478" s="259"/>
      <c r="CS478" s="259"/>
      <c r="CT478" s="259"/>
      <c r="CU478" s="259"/>
      <c r="CV478" s="259"/>
      <c r="CW478" s="259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259"/>
      <c r="BP479" s="259"/>
      <c r="BQ479" s="259"/>
      <c r="BR479" s="259"/>
      <c r="BS479" s="259"/>
      <c r="BT479" s="259"/>
      <c r="BU479" s="259"/>
      <c r="BV479" s="259"/>
      <c r="BW479" s="259"/>
      <c r="BX479" s="259"/>
      <c r="BY479" s="259"/>
      <c r="BZ479" s="260"/>
      <c r="CA479" s="259"/>
      <c r="CB479" s="259"/>
      <c r="CC479" s="259"/>
      <c r="CD479" s="259"/>
      <c r="CE479" s="259"/>
      <c r="CF479" s="259"/>
      <c r="CG479" s="259"/>
      <c r="CH479" s="259"/>
      <c r="CI479" s="259"/>
      <c r="CJ479" s="259"/>
      <c r="CK479" s="259"/>
      <c r="CL479" s="259"/>
      <c r="CM479" s="259"/>
      <c r="CN479" s="259"/>
      <c r="CO479" s="259"/>
      <c r="CP479" s="259"/>
      <c r="CQ479" s="259"/>
      <c r="CR479" s="259"/>
      <c r="CS479" s="259"/>
      <c r="CT479" s="259"/>
      <c r="CU479" s="259"/>
      <c r="CV479" s="259"/>
      <c r="CW479" s="259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259"/>
      <c r="BP480" s="259"/>
      <c r="BQ480" s="259"/>
      <c r="BR480" s="259"/>
      <c r="BS480" s="259"/>
      <c r="BT480" s="259"/>
      <c r="BU480" s="259"/>
      <c r="BV480" s="259"/>
      <c r="BW480" s="259"/>
      <c r="BX480" s="259"/>
      <c r="BY480" s="259"/>
      <c r="BZ480" s="260"/>
      <c r="CA480" s="259"/>
      <c r="CB480" s="259"/>
      <c r="CC480" s="259"/>
      <c r="CD480" s="259"/>
      <c r="CE480" s="259"/>
      <c r="CF480" s="259"/>
      <c r="CG480" s="259"/>
      <c r="CH480" s="259"/>
      <c r="CI480" s="259"/>
      <c r="CJ480" s="259"/>
      <c r="CK480" s="259"/>
      <c r="CL480" s="259"/>
      <c r="CM480" s="259"/>
      <c r="CN480" s="259"/>
      <c r="CO480" s="259"/>
      <c r="CP480" s="259"/>
      <c r="CQ480" s="259"/>
      <c r="CR480" s="259"/>
      <c r="CS480" s="259"/>
      <c r="CT480" s="259"/>
      <c r="CU480" s="259"/>
      <c r="CV480" s="259"/>
      <c r="CW480" s="259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259"/>
      <c r="BP481" s="259"/>
      <c r="BQ481" s="259"/>
      <c r="BR481" s="259"/>
      <c r="BS481" s="259"/>
      <c r="BT481" s="259"/>
      <c r="BU481" s="259"/>
      <c r="BV481" s="259"/>
      <c r="BW481" s="259"/>
      <c r="BX481" s="259"/>
      <c r="BY481" s="259"/>
      <c r="BZ481" s="260"/>
      <c r="CA481" s="259"/>
      <c r="CB481" s="259"/>
      <c r="CC481" s="259"/>
      <c r="CD481" s="259"/>
      <c r="CE481" s="259"/>
      <c r="CF481" s="259"/>
      <c r="CG481" s="259"/>
      <c r="CH481" s="259"/>
      <c r="CI481" s="259"/>
      <c r="CJ481" s="259"/>
      <c r="CK481" s="259"/>
      <c r="CL481" s="259"/>
      <c r="CM481" s="259"/>
      <c r="CN481" s="259"/>
      <c r="CO481" s="259"/>
      <c r="CP481" s="259"/>
      <c r="CQ481" s="259"/>
      <c r="CR481" s="259"/>
      <c r="CS481" s="259"/>
      <c r="CT481" s="259"/>
      <c r="CU481" s="259"/>
      <c r="CV481" s="259"/>
      <c r="CW481" s="259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259"/>
      <c r="BP482" s="259"/>
      <c r="BQ482" s="259"/>
      <c r="BR482" s="259"/>
      <c r="BS482" s="259"/>
      <c r="BT482" s="259"/>
      <c r="BU482" s="259"/>
      <c r="BV482" s="259"/>
      <c r="BW482" s="259"/>
      <c r="BX482" s="259"/>
      <c r="BY482" s="259"/>
      <c r="BZ482" s="260"/>
      <c r="CA482" s="259"/>
      <c r="CB482" s="259"/>
      <c r="CC482" s="259"/>
      <c r="CD482" s="259"/>
      <c r="CE482" s="259"/>
      <c r="CF482" s="259"/>
      <c r="CG482" s="259"/>
      <c r="CH482" s="259"/>
      <c r="CI482" s="259"/>
      <c r="CJ482" s="259"/>
      <c r="CK482" s="259"/>
      <c r="CL482" s="259"/>
      <c r="CM482" s="259"/>
      <c r="CN482" s="259"/>
      <c r="CO482" s="259"/>
      <c r="CP482" s="259"/>
      <c r="CQ482" s="259"/>
      <c r="CR482" s="259"/>
      <c r="CS482" s="259"/>
      <c r="CT482" s="259"/>
      <c r="CU482" s="259"/>
      <c r="CV482" s="259"/>
      <c r="CW482" s="259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259"/>
      <c r="BP483" s="259"/>
      <c r="BQ483" s="259"/>
      <c r="BR483" s="259"/>
      <c r="BS483" s="259"/>
      <c r="BT483" s="259"/>
      <c r="BU483" s="259"/>
      <c r="BV483" s="259"/>
      <c r="BW483" s="259"/>
      <c r="BX483" s="259"/>
      <c r="BY483" s="259"/>
      <c r="BZ483" s="260"/>
      <c r="CA483" s="259"/>
      <c r="CB483" s="259"/>
      <c r="CC483" s="259"/>
      <c r="CD483" s="259"/>
      <c r="CE483" s="259"/>
      <c r="CF483" s="259"/>
      <c r="CG483" s="259"/>
      <c r="CH483" s="259"/>
      <c r="CI483" s="259"/>
      <c r="CJ483" s="259"/>
      <c r="CK483" s="259"/>
      <c r="CL483" s="259"/>
      <c r="CM483" s="259"/>
      <c r="CN483" s="259"/>
      <c r="CO483" s="259"/>
      <c r="CP483" s="259"/>
      <c r="CQ483" s="259"/>
      <c r="CR483" s="259"/>
      <c r="CS483" s="259"/>
      <c r="CT483" s="259"/>
      <c r="CU483" s="259"/>
      <c r="CV483" s="259"/>
      <c r="CW483" s="259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259"/>
      <c r="BP484" s="259"/>
      <c r="BQ484" s="259"/>
      <c r="BR484" s="259"/>
      <c r="BS484" s="259"/>
      <c r="BT484" s="259"/>
      <c r="BU484" s="259"/>
      <c r="BV484" s="259"/>
      <c r="BW484" s="259"/>
      <c r="BX484" s="259"/>
      <c r="BY484" s="259"/>
      <c r="BZ484" s="260"/>
      <c r="CA484" s="259"/>
      <c r="CB484" s="259"/>
      <c r="CC484" s="259"/>
      <c r="CD484" s="259"/>
      <c r="CE484" s="259"/>
      <c r="CF484" s="259"/>
      <c r="CG484" s="259"/>
      <c r="CH484" s="259"/>
      <c r="CI484" s="259"/>
      <c r="CJ484" s="259"/>
      <c r="CK484" s="259"/>
      <c r="CL484" s="259"/>
      <c r="CM484" s="259"/>
      <c r="CN484" s="259"/>
      <c r="CO484" s="259"/>
      <c r="CP484" s="259"/>
      <c r="CQ484" s="259"/>
      <c r="CR484" s="259"/>
      <c r="CS484" s="259"/>
      <c r="CT484" s="259"/>
      <c r="CU484" s="259"/>
      <c r="CV484" s="259"/>
      <c r="CW484" s="259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259"/>
      <c r="BP485" s="259"/>
      <c r="BQ485" s="259"/>
      <c r="BR485" s="259"/>
      <c r="BS485" s="259"/>
      <c r="BT485" s="259"/>
      <c r="BU485" s="259"/>
      <c r="BV485" s="259"/>
      <c r="BW485" s="259"/>
      <c r="BX485" s="259"/>
      <c r="BY485" s="259"/>
      <c r="BZ485" s="260"/>
      <c r="CA485" s="259"/>
      <c r="CB485" s="259"/>
      <c r="CC485" s="259"/>
      <c r="CD485" s="259"/>
      <c r="CE485" s="259"/>
      <c r="CF485" s="259"/>
      <c r="CG485" s="259"/>
      <c r="CH485" s="259"/>
      <c r="CI485" s="259"/>
      <c r="CJ485" s="259"/>
      <c r="CK485" s="259"/>
      <c r="CL485" s="259"/>
      <c r="CM485" s="259"/>
      <c r="CN485" s="259"/>
      <c r="CO485" s="259"/>
      <c r="CP485" s="259"/>
      <c r="CQ485" s="259"/>
      <c r="CR485" s="259"/>
      <c r="CS485" s="259"/>
      <c r="CT485" s="259"/>
      <c r="CU485" s="259"/>
      <c r="CV485" s="259"/>
      <c r="CW485" s="259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259"/>
      <c r="BP486" s="259"/>
      <c r="BQ486" s="259"/>
      <c r="BR486" s="259"/>
      <c r="BS486" s="259"/>
      <c r="BT486" s="259"/>
      <c r="BU486" s="259"/>
      <c r="BV486" s="259"/>
      <c r="BW486" s="259"/>
      <c r="BX486" s="259"/>
      <c r="BY486" s="259"/>
      <c r="BZ486" s="260"/>
      <c r="CA486" s="259"/>
      <c r="CB486" s="259"/>
      <c r="CC486" s="259"/>
      <c r="CD486" s="259"/>
      <c r="CE486" s="259"/>
      <c r="CF486" s="259"/>
      <c r="CG486" s="259"/>
      <c r="CH486" s="259"/>
      <c r="CI486" s="259"/>
      <c r="CJ486" s="259"/>
      <c r="CK486" s="259"/>
      <c r="CL486" s="259"/>
      <c r="CM486" s="259"/>
      <c r="CN486" s="259"/>
      <c r="CO486" s="259"/>
      <c r="CP486" s="259"/>
      <c r="CQ486" s="259"/>
      <c r="CR486" s="259"/>
      <c r="CS486" s="259"/>
      <c r="CT486" s="259"/>
      <c r="CU486" s="259"/>
      <c r="CV486" s="259"/>
      <c r="CW486" s="259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259"/>
      <c r="BP487" s="259"/>
      <c r="BQ487" s="259"/>
      <c r="BR487" s="259"/>
      <c r="BS487" s="259"/>
      <c r="BT487" s="259"/>
      <c r="BU487" s="259"/>
      <c r="BV487" s="259"/>
      <c r="BW487" s="259"/>
      <c r="BX487" s="259"/>
      <c r="BY487" s="259"/>
      <c r="BZ487" s="260"/>
      <c r="CA487" s="259"/>
      <c r="CB487" s="259"/>
      <c r="CC487" s="259"/>
      <c r="CD487" s="259"/>
      <c r="CE487" s="259"/>
      <c r="CF487" s="259"/>
      <c r="CG487" s="259"/>
      <c r="CH487" s="259"/>
      <c r="CI487" s="259"/>
      <c r="CJ487" s="259"/>
      <c r="CK487" s="259"/>
      <c r="CL487" s="259"/>
      <c r="CM487" s="259"/>
      <c r="CN487" s="259"/>
      <c r="CO487" s="259"/>
      <c r="CP487" s="259"/>
      <c r="CQ487" s="259"/>
      <c r="CR487" s="259"/>
      <c r="CS487" s="259"/>
      <c r="CT487" s="259"/>
      <c r="CU487" s="259"/>
      <c r="CV487" s="259"/>
      <c r="CW487" s="259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259"/>
      <c r="BP488" s="259"/>
      <c r="BQ488" s="259"/>
      <c r="BR488" s="259"/>
      <c r="BS488" s="259"/>
      <c r="BT488" s="259"/>
      <c r="BU488" s="259"/>
      <c r="BV488" s="259"/>
      <c r="BW488" s="259"/>
      <c r="BX488" s="259"/>
      <c r="BY488" s="259"/>
      <c r="BZ488" s="260"/>
      <c r="CA488" s="259"/>
      <c r="CB488" s="259"/>
      <c r="CC488" s="259"/>
      <c r="CD488" s="259"/>
      <c r="CE488" s="259"/>
      <c r="CF488" s="259"/>
      <c r="CG488" s="259"/>
      <c r="CH488" s="259"/>
      <c r="CI488" s="259"/>
      <c r="CJ488" s="259"/>
      <c r="CK488" s="259"/>
      <c r="CL488" s="259"/>
      <c r="CM488" s="259"/>
      <c r="CN488" s="259"/>
      <c r="CO488" s="259"/>
      <c r="CP488" s="259"/>
      <c r="CQ488" s="259"/>
      <c r="CR488" s="259"/>
      <c r="CS488" s="259"/>
      <c r="CT488" s="259"/>
      <c r="CU488" s="259"/>
      <c r="CV488" s="259"/>
      <c r="CW488" s="259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259"/>
      <c r="BP489" s="259"/>
      <c r="BQ489" s="259"/>
      <c r="BR489" s="259"/>
      <c r="BS489" s="259"/>
      <c r="BT489" s="259"/>
      <c r="BU489" s="259"/>
      <c r="BV489" s="259"/>
      <c r="BW489" s="259"/>
      <c r="BX489" s="259"/>
      <c r="BY489" s="259"/>
      <c r="BZ489" s="260"/>
      <c r="CA489" s="259"/>
      <c r="CB489" s="259"/>
      <c r="CC489" s="259"/>
      <c r="CD489" s="259"/>
      <c r="CE489" s="259"/>
      <c r="CF489" s="259"/>
      <c r="CG489" s="259"/>
      <c r="CH489" s="259"/>
      <c r="CI489" s="259"/>
      <c r="CJ489" s="259"/>
      <c r="CK489" s="259"/>
      <c r="CL489" s="259"/>
      <c r="CM489" s="259"/>
      <c r="CN489" s="259"/>
      <c r="CO489" s="259"/>
      <c r="CP489" s="259"/>
      <c r="CQ489" s="259"/>
      <c r="CR489" s="259"/>
      <c r="CS489" s="259"/>
      <c r="CT489" s="259"/>
      <c r="CU489" s="259"/>
      <c r="CV489" s="259"/>
      <c r="CW489" s="259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259"/>
      <c r="BP490" s="259"/>
      <c r="BQ490" s="259"/>
      <c r="BR490" s="259"/>
      <c r="BS490" s="259"/>
      <c r="BT490" s="259"/>
      <c r="BU490" s="259"/>
      <c r="BV490" s="259"/>
      <c r="BW490" s="259"/>
      <c r="BX490" s="259"/>
      <c r="BY490" s="259"/>
      <c r="BZ490" s="260"/>
      <c r="CA490" s="259"/>
      <c r="CB490" s="259"/>
      <c r="CC490" s="259"/>
      <c r="CD490" s="259"/>
      <c r="CE490" s="259"/>
      <c r="CF490" s="259"/>
      <c r="CG490" s="259"/>
      <c r="CH490" s="259"/>
      <c r="CI490" s="259"/>
      <c r="CJ490" s="259"/>
      <c r="CK490" s="259"/>
      <c r="CL490" s="259"/>
      <c r="CM490" s="259"/>
      <c r="CN490" s="259"/>
      <c r="CO490" s="259"/>
      <c r="CP490" s="259"/>
      <c r="CQ490" s="259"/>
      <c r="CR490" s="259"/>
      <c r="CS490" s="259"/>
      <c r="CT490" s="259"/>
      <c r="CU490" s="259"/>
      <c r="CV490" s="259"/>
      <c r="CW490" s="259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259"/>
      <c r="BP491" s="259"/>
      <c r="BQ491" s="259"/>
      <c r="BR491" s="259"/>
      <c r="BS491" s="259"/>
      <c r="BT491" s="259"/>
      <c r="BU491" s="259"/>
      <c r="BV491" s="259"/>
      <c r="BW491" s="259"/>
      <c r="BX491" s="259"/>
      <c r="BY491" s="259"/>
      <c r="BZ491" s="260"/>
      <c r="CA491" s="259"/>
      <c r="CB491" s="259"/>
      <c r="CC491" s="259"/>
      <c r="CD491" s="259"/>
      <c r="CE491" s="259"/>
      <c r="CF491" s="259"/>
      <c r="CG491" s="259"/>
      <c r="CH491" s="259"/>
      <c r="CI491" s="259"/>
      <c r="CJ491" s="259"/>
      <c r="CK491" s="259"/>
      <c r="CL491" s="259"/>
      <c r="CM491" s="259"/>
      <c r="CN491" s="259"/>
      <c r="CO491" s="259"/>
      <c r="CP491" s="259"/>
      <c r="CQ491" s="259"/>
      <c r="CR491" s="259"/>
      <c r="CS491" s="259"/>
      <c r="CT491" s="259"/>
      <c r="CU491" s="259"/>
      <c r="CV491" s="259"/>
      <c r="CW491" s="259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259"/>
      <c r="BP492" s="259"/>
      <c r="BQ492" s="259"/>
      <c r="BR492" s="259"/>
      <c r="BS492" s="259"/>
      <c r="BT492" s="259"/>
      <c r="BU492" s="259"/>
      <c r="BV492" s="259"/>
      <c r="BW492" s="259"/>
      <c r="BX492" s="259"/>
      <c r="BY492" s="259"/>
      <c r="BZ492" s="260"/>
      <c r="CA492" s="259"/>
      <c r="CB492" s="259"/>
      <c r="CC492" s="259"/>
      <c r="CD492" s="259"/>
      <c r="CE492" s="259"/>
      <c r="CF492" s="259"/>
      <c r="CG492" s="259"/>
      <c r="CH492" s="259"/>
      <c r="CI492" s="259"/>
      <c r="CJ492" s="259"/>
      <c r="CK492" s="259"/>
      <c r="CL492" s="259"/>
      <c r="CM492" s="259"/>
      <c r="CN492" s="259"/>
      <c r="CO492" s="259"/>
      <c r="CP492" s="259"/>
      <c r="CQ492" s="259"/>
      <c r="CR492" s="259"/>
      <c r="CS492" s="259"/>
      <c r="CT492" s="259"/>
      <c r="CU492" s="259"/>
      <c r="CV492" s="259"/>
      <c r="CW492" s="259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259"/>
      <c r="BP493" s="259"/>
      <c r="BQ493" s="259"/>
      <c r="BR493" s="259"/>
      <c r="BS493" s="259"/>
      <c r="BT493" s="259"/>
      <c r="BU493" s="259"/>
      <c r="BV493" s="259"/>
      <c r="BW493" s="259"/>
      <c r="BX493" s="259"/>
      <c r="BY493" s="259"/>
      <c r="BZ493" s="260"/>
      <c r="CA493" s="259"/>
      <c r="CB493" s="259"/>
      <c r="CC493" s="259"/>
      <c r="CD493" s="259"/>
      <c r="CE493" s="259"/>
      <c r="CF493" s="259"/>
      <c r="CG493" s="259"/>
      <c r="CH493" s="259"/>
      <c r="CI493" s="259"/>
      <c r="CJ493" s="259"/>
      <c r="CK493" s="259"/>
      <c r="CL493" s="259"/>
      <c r="CM493" s="259"/>
      <c r="CN493" s="259"/>
      <c r="CO493" s="259"/>
      <c r="CP493" s="259"/>
      <c r="CQ493" s="259"/>
      <c r="CR493" s="259"/>
      <c r="CS493" s="259"/>
      <c r="CT493" s="259"/>
      <c r="CU493" s="259"/>
      <c r="CV493" s="259"/>
      <c r="CW493" s="259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259"/>
      <c r="BP494" s="259"/>
      <c r="BQ494" s="259"/>
      <c r="BR494" s="259"/>
      <c r="BS494" s="259"/>
      <c r="BT494" s="259"/>
      <c r="BU494" s="259"/>
      <c r="BV494" s="259"/>
      <c r="BW494" s="259"/>
      <c r="BX494" s="259"/>
      <c r="BY494" s="259"/>
      <c r="BZ494" s="260"/>
      <c r="CA494" s="259"/>
      <c r="CB494" s="259"/>
      <c r="CC494" s="259"/>
      <c r="CD494" s="259"/>
      <c r="CE494" s="259"/>
      <c r="CF494" s="259"/>
      <c r="CG494" s="259"/>
      <c r="CH494" s="259"/>
      <c r="CI494" s="259"/>
      <c r="CJ494" s="259"/>
      <c r="CK494" s="259"/>
      <c r="CL494" s="259"/>
      <c r="CM494" s="259"/>
      <c r="CN494" s="259"/>
      <c r="CO494" s="259"/>
      <c r="CP494" s="259"/>
      <c r="CQ494" s="259"/>
      <c r="CR494" s="259"/>
      <c r="CS494" s="259"/>
      <c r="CT494" s="259"/>
      <c r="CU494" s="259"/>
      <c r="CV494" s="259"/>
      <c r="CW494" s="259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259"/>
      <c r="BP495" s="259"/>
      <c r="BQ495" s="259"/>
      <c r="BR495" s="259"/>
      <c r="BS495" s="259"/>
      <c r="BT495" s="259"/>
      <c r="BU495" s="259"/>
      <c r="BV495" s="259"/>
      <c r="BW495" s="259"/>
      <c r="BX495" s="259"/>
      <c r="BY495" s="259"/>
      <c r="BZ495" s="260"/>
      <c r="CA495" s="259"/>
      <c r="CB495" s="259"/>
      <c r="CC495" s="259"/>
      <c r="CD495" s="259"/>
      <c r="CE495" s="259"/>
      <c r="CF495" s="259"/>
      <c r="CG495" s="259"/>
      <c r="CH495" s="259"/>
      <c r="CI495" s="259"/>
      <c r="CJ495" s="259"/>
      <c r="CK495" s="259"/>
      <c r="CL495" s="259"/>
      <c r="CM495" s="259"/>
      <c r="CN495" s="259"/>
      <c r="CO495" s="259"/>
      <c r="CP495" s="259"/>
      <c r="CQ495" s="259"/>
      <c r="CR495" s="259"/>
      <c r="CS495" s="259"/>
      <c r="CT495" s="259"/>
      <c r="CU495" s="259"/>
      <c r="CV495" s="259"/>
      <c r="CW495" s="259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259"/>
      <c r="BP496" s="259"/>
      <c r="BQ496" s="259"/>
      <c r="BR496" s="259"/>
      <c r="BS496" s="259"/>
      <c r="BT496" s="259"/>
      <c r="BU496" s="259"/>
      <c r="BV496" s="259"/>
      <c r="BW496" s="259"/>
      <c r="BX496" s="259"/>
      <c r="BY496" s="259"/>
      <c r="BZ496" s="260"/>
      <c r="CA496" s="259"/>
      <c r="CB496" s="259"/>
      <c r="CC496" s="259"/>
      <c r="CD496" s="259"/>
      <c r="CE496" s="259"/>
      <c r="CF496" s="259"/>
      <c r="CG496" s="259"/>
      <c r="CH496" s="259"/>
      <c r="CI496" s="259"/>
      <c r="CJ496" s="259"/>
      <c r="CK496" s="259"/>
      <c r="CL496" s="259"/>
      <c r="CM496" s="259"/>
      <c r="CN496" s="259"/>
      <c r="CO496" s="259"/>
      <c r="CP496" s="259"/>
      <c r="CQ496" s="259"/>
      <c r="CR496" s="259"/>
      <c r="CS496" s="259"/>
      <c r="CT496" s="259"/>
      <c r="CU496" s="259"/>
      <c r="CV496" s="259"/>
      <c r="CW496" s="259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259"/>
      <c r="BP497" s="259"/>
      <c r="BQ497" s="259"/>
      <c r="BR497" s="259"/>
      <c r="BS497" s="259"/>
      <c r="BT497" s="259"/>
      <c r="BU497" s="259"/>
      <c r="BV497" s="259"/>
      <c r="BW497" s="259"/>
      <c r="BX497" s="259"/>
      <c r="BY497" s="259"/>
      <c r="BZ497" s="260"/>
      <c r="CA497" s="259"/>
      <c r="CB497" s="259"/>
      <c r="CC497" s="259"/>
      <c r="CD497" s="259"/>
      <c r="CE497" s="259"/>
      <c r="CF497" s="259"/>
      <c r="CG497" s="259"/>
      <c r="CH497" s="259"/>
      <c r="CI497" s="259"/>
      <c r="CJ497" s="259"/>
      <c r="CK497" s="259"/>
      <c r="CL497" s="259"/>
      <c r="CM497" s="259"/>
      <c r="CN497" s="259"/>
      <c r="CO497" s="259"/>
      <c r="CP497" s="259"/>
      <c r="CQ497" s="259"/>
      <c r="CR497" s="259"/>
      <c r="CS497" s="259"/>
      <c r="CT497" s="259"/>
      <c r="CU497" s="259"/>
      <c r="CV497" s="259"/>
      <c r="CW497" s="259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259"/>
      <c r="BP498" s="259"/>
      <c r="BQ498" s="259"/>
      <c r="BR498" s="259"/>
      <c r="BS498" s="259"/>
      <c r="BT498" s="259"/>
      <c r="BU498" s="259"/>
      <c r="BV498" s="259"/>
      <c r="BW498" s="259"/>
      <c r="BX498" s="259"/>
      <c r="BY498" s="259"/>
      <c r="BZ498" s="260"/>
      <c r="CA498" s="259"/>
      <c r="CB498" s="259"/>
      <c r="CC498" s="259"/>
      <c r="CD498" s="259"/>
      <c r="CE498" s="259"/>
      <c r="CF498" s="259"/>
      <c r="CG498" s="259"/>
      <c r="CH498" s="259"/>
      <c r="CI498" s="259"/>
      <c r="CJ498" s="259"/>
      <c r="CK498" s="259"/>
      <c r="CL498" s="259"/>
      <c r="CM498" s="259"/>
      <c r="CN498" s="259"/>
      <c r="CO498" s="259"/>
      <c r="CP498" s="259"/>
      <c r="CQ498" s="259"/>
      <c r="CR498" s="259"/>
      <c r="CS498" s="259"/>
      <c r="CT498" s="259"/>
      <c r="CU498" s="259"/>
      <c r="CV498" s="259"/>
      <c r="CW498" s="259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259"/>
      <c r="BP499" s="259"/>
      <c r="BQ499" s="259"/>
      <c r="BR499" s="259"/>
      <c r="BS499" s="259"/>
      <c r="BT499" s="259"/>
      <c r="BU499" s="259"/>
      <c r="BV499" s="259"/>
      <c r="BW499" s="259"/>
      <c r="BX499" s="259"/>
      <c r="BY499" s="259"/>
      <c r="BZ499" s="260"/>
      <c r="CA499" s="259"/>
      <c r="CB499" s="259"/>
      <c r="CC499" s="259"/>
      <c r="CD499" s="259"/>
      <c r="CE499" s="259"/>
      <c r="CF499" s="259"/>
      <c r="CG499" s="259"/>
      <c r="CH499" s="259"/>
      <c r="CI499" s="259"/>
      <c r="CJ499" s="259"/>
      <c r="CK499" s="259"/>
      <c r="CL499" s="259"/>
      <c r="CM499" s="259"/>
      <c r="CN499" s="259"/>
      <c r="CO499" s="259"/>
      <c r="CP499" s="259"/>
      <c r="CQ499" s="259"/>
      <c r="CR499" s="259"/>
      <c r="CS499" s="259"/>
      <c r="CT499" s="259"/>
      <c r="CU499" s="259"/>
      <c r="CV499" s="259"/>
      <c r="CW499" s="259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259"/>
      <c r="BP500" s="259"/>
      <c r="BQ500" s="259"/>
      <c r="BR500" s="259"/>
      <c r="BS500" s="259"/>
      <c r="BT500" s="259"/>
      <c r="BU500" s="259"/>
      <c r="BV500" s="259"/>
      <c r="BW500" s="259"/>
      <c r="BX500" s="259"/>
      <c r="BY500" s="259"/>
      <c r="BZ500" s="260"/>
      <c r="CA500" s="259"/>
      <c r="CB500" s="259"/>
      <c r="CC500" s="259"/>
      <c r="CD500" s="259"/>
      <c r="CE500" s="259"/>
      <c r="CF500" s="259"/>
      <c r="CG500" s="259"/>
      <c r="CH500" s="259"/>
      <c r="CI500" s="259"/>
      <c r="CJ500" s="259"/>
      <c r="CK500" s="259"/>
      <c r="CL500" s="259"/>
      <c r="CM500" s="259"/>
      <c r="CN500" s="259"/>
      <c r="CO500" s="259"/>
      <c r="CP500" s="259"/>
      <c r="CQ500" s="259"/>
      <c r="CR500" s="259"/>
      <c r="CS500" s="259"/>
      <c r="CT500" s="259"/>
      <c r="CU500" s="259"/>
      <c r="CV500" s="259"/>
      <c r="CW500" s="259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259"/>
      <c r="BP501" s="259"/>
      <c r="BQ501" s="259"/>
      <c r="BR501" s="259"/>
      <c r="BS501" s="259"/>
      <c r="BT501" s="259"/>
      <c r="BU501" s="259"/>
      <c r="BV501" s="259"/>
      <c r="BW501" s="259"/>
      <c r="BX501" s="259"/>
      <c r="BY501" s="259"/>
      <c r="BZ501" s="260"/>
      <c r="CA501" s="259"/>
      <c r="CB501" s="259"/>
      <c r="CC501" s="259"/>
      <c r="CD501" s="259"/>
      <c r="CE501" s="259"/>
      <c r="CF501" s="259"/>
      <c r="CG501" s="259"/>
      <c r="CH501" s="259"/>
      <c r="CI501" s="259"/>
      <c r="CJ501" s="259"/>
      <c r="CK501" s="259"/>
      <c r="CL501" s="259"/>
      <c r="CM501" s="259"/>
      <c r="CN501" s="259"/>
      <c r="CO501" s="259"/>
      <c r="CP501" s="259"/>
      <c r="CQ501" s="259"/>
      <c r="CR501" s="259"/>
      <c r="CS501" s="259"/>
      <c r="CT501" s="259"/>
      <c r="CU501" s="259"/>
      <c r="CV501" s="259"/>
      <c r="CW501" s="259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259"/>
      <c r="BP502" s="259"/>
      <c r="BQ502" s="259"/>
      <c r="BR502" s="259"/>
      <c r="BS502" s="259"/>
      <c r="BT502" s="259"/>
      <c r="BU502" s="259"/>
      <c r="BV502" s="259"/>
      <c r="BW502" s="259"/>
      <c r="BX502" s="259"/>
      <c r="BY502" s="259"/>
      <c r="BZ502" s="260"/>
      <c r="CA502" s="259"/>
      <c r="CB502" s="259"/>
      <c r="CC502" s="259"/>
      <c r="CD502" s="259"/>
      <c r="CE502" s="259"/>
      <c r="CF502" s="259"/>
      <c r="CG502" s="259"/>
      <c r="CH502" s="259"/>
      <c r="CI502" s="259"/>
      <c r="CJ502" s="259"/>
      <c r="CK502" s="259"/>
      <c r="CL502" s="259"/>
      <c r="CM502" s="259"/>
      <c r="CN502" s="259"/>
      <c r="CO502" s="259"/>
      <c r="CP502" s="259"/>
      <c r="CQ502" s="259"/>
      <c r="CR502" s="259"/>
      <c r="CS502" s="259"/>
      <c r="CT502" s="259"/>
      <c r="CU502" s="259"/>
      <c r="CV502" s="259"/>
      <c r="CW502" s="259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259"/>
      <c r="BP503" s="259"/>
      <c r="BQ503" s="259"/>
      <c r="BR503" s="259"/>
      <c r="BS503" s="259"/>
      <c r="BT503" s="259"/>
      <c r="BU503" s="259"/>
      <c r="BV503" s="259"/>
      <c r="BW503" s="259"/>
      <c r="BX503" s="259"/>
      <c r="BY503" s="259"/>
      <c r="BZ503" s="260"/>
      <c r="CA503" s="259"/>
      <c r="CB503" s="259"/>
      <c r="CC503" s="259"/>
      <c r="CD503" s="259"/>
      <c r="CE503" s="259"/>
      <c r="CF503" s="259"/>
      <c r="CG503" s="259"/>
      <c r="CH503" s="259"/>
      <c r="CI503" s="259"/>
      <c r="CJ503" s="259"/>
      <c r="CK503" s="259"/>
      <c r="CL503" s="259"/>
      <c r="CM503" s="259"/>
      <c r="CN503" s="259"/>
      <c r="CO503" s="259"/>
      <c r="CP503" s="259"/>
      <c r="CQ503" s="259"/>
      <c r="CR503" s="259"/>
      <c r="CS503" s="259"/>
      <c r="CT503" s="259"/>
      <c r="CU503" s="259"/>
      <c r="CV503" s="259"/>
      <c r="CW503" s="259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259"/>
      <c r="BP504" s="259"/>
      <c r="BQ504" s="259"/>
      <c r="BR504" s="259"/>
      <c r="BS504" s="259"/>
      <c r="BT504" s="259"/>
      <c r="BU504" s="259"/>
      <c r="BV504" s="259"/>
      <c r="BW504" s="259"/>
      <c r="BX504" s="259"/>
      <c r="BY504" s="259"/>
      <c r="BZ504" s="260"/>
      <c r="CA504" s="259"/>
      <c r="CB504" s="259"/>
      <c r="CC504" s="259"/>
      <c r="CD504" s="259"/>
      <c r="CE504" s="259"/>
      <c r="CF504" s="259"/>
      <c r="CG504" s="259"/>
      <c r="CH504" s="259"/>
      <c r="CI504" s="259"/>
      <c r="CJ504" s="259"/>
      <c r="CK504" s="259"/>
      <c r="CL504" s="259"/>
      <c r="CM504" s="259"/>
      <c r="CN504" s="259"/>
      <c r="CO504" s="259"/>
      <c r="CP504" s="259"/>
      <c r="CQ504" s="259"/>
      <c r="CR504" s="259"/>
      <c r="CS504" s="259"/>
      <c r="CT504" s="259"/>
      <c r="CU504" s="259"/>
      <c r="CV504" s="259"/>
      <c r="CW504" s="259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259"/>
      <c r="BP505" s="259"/>
      <c r="BQ505" s="259"/>
      <c r="BR505" s="259"/>
      <c r="BS505" s="259"/>
      <c r="BT505" s="259"/>
      <c r="BU505" s="259"/>
      <c r="BV505" s="259"/>
      <c r="BW505" s="259"/>
      <c r="BX505" s="259"/>
      <c r="BY505" s="259"/>
      <c r="BZ505" s="260"/>
      <c r="CA505" s="259"/>
      <c r="CB505" s="259"/>
      <c r="CC505" s="259"/>
      <c r="CD505" s="259"/>
      <c r="CE505" s="259"/>
      <c r="CF505" s="259"/>
      <c r="CG505" s="259"/>
      <c r="CH505" s="259"/>
      <c r="CI505" s="259"/>
      <c r="CJ505" s="259"/>
      <c r="CK505" s="259"/>
      <c r="CL505" s="259"/>
      <c r="CM505" s="259"/>
      <c r="CN505" s="259"/>
      <c r="CO505" s="259"/>
      <c r="CP505" s="259"/>
      <c r="CQ505" s="259"/>
      <c r="CR505" s="259"/>
      <c r="CS505" s="259"/>
      <c r="CT505" s="259"/>
      <c r="CU505" s="259"/>
      <c r="CV505" s="259"/>
      <c r="CW505" s="259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259"/>
      <c r="BP506" s="259"/>
      <c r="BQ506" s="259"/>
      <c r="BR506" s="259"/>
      <c r="BS506" s="259"/>
      <c r="BT506" s="259"/>
      <c r="BU506" s="259"/>
      <c r="BV506" s="259"/>
      <c r="BW506" s="259"/>
      <c r="BX506" s="259"/>
      <c r="BY506" s="259"/>
      <c r="BZ506" s="260"/>
      <c r="CA506" s="259"/>
      <c r="CB506" s="259"/>
      <c r="CC506" s="259"/>
      <c r="CD506" s="259"/>
      <c r="CE506" s="259"/>
      <c r="CF506" s="259"/>
      <c r="CG506" s="259"/>
      <c r="CH506" s="259"/>
      <c r="CI506" s="259"/>
      <c r="CJ506" s="259"/>
      <c r="CK506" s="259"/>
      <c r="CL506" s="259"/>
      <c r="CM506" s="259"/>
      <c r="CN506" s="259"/>
      <c r="CO506" s="259"/>
      <c r="CP506" s="259"/>
      <c r="CQ506" s="259"/>
      <c r="CR506" s="259"/>
      <c r="CS506" s="259"/>
      <c r="CT506" s="259"/>
      <c r="CU506" s="259"/>
      <c r="CV506" s="259"/>
      <c r="CW506" s="259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259"/>
      <c r="BP507" s="259"/>
      <c r="BQ507" s="259"/>
      <c r="BR507" s="259"/>
      <c r="BS507" s="259"/>
      <c r="BT507" s="259"/>
      <c r="BU507" s="259"/>
      <c r="BV507" s="259"/>
      <c r="BW507" s="259"/>
      <c r="BX507" s="259"/>
      <c r="BY507" s="259"/>
      <c r="BZ507" s="260"/>
      <c r="CA507" s="259"/>
      <c r="CB507" s="259"/>
      <c r="CC507" s="259"/>
      <c r="CD507" s="259"/>
      <c r="CE507" s="259"/>
      <c r="CF507" s="259"/>
      <c r="CG507" s="259"/>
      <c r="CH507" s="259"/>
      <c r="CI507" s="259"/>
      <c r="CJ507" s="259"/>
      <c r="CK507" s="259"/>
      <c r="CL507" s="259"/>
      <c r="CM507" s="259"/>
      <c r="CN507" s="259"/>
      <c r="CO507" s="259"/>
      <c r="CP507" s="259"/>
      <c r="CQ507" s="259"/>
      <c r="CR507" s="259"/>
      <c r="CS507" s="259"/>
      <c r="CT507" s="259"/>
      <c r="CU507" s="259"/>
      <c r="CV507" s="259"/>
      <c r="CW507" s="259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259"/>
      <c r="BP508" s="259"/>
      <c r="BQ508" s="259"/>
      <c r="BR508" s="259"/>
      <c r="BS508" s="259"/>
      <c r="BT508" s="259"/>
      <c r="BU508" s="259"/>
      <c r="BV508" s="259"/>
      <c r="BW508" s="259"/>
      <c r="BX508" s="259"/>
      <c r="BY508" s="259"/>
      <c r="BZ508" s="260"/>
      <c r="CA508" s="259"/>
      <c r="CB508" s="259"/>
      <c r="CC508" s="259"/>
      <c r="CD508" s="259"/>
      <c r="CE508" s="259"/>
      <c r="CF508" s="259"/>
      <c r="CG508" s="259"/>
      <c r="CH508" s="259"/>
      <c r="CI508" s="259"/>
      <c r="CJ508" s="259"/>
      <c r="CK508" s="259"/>
      <c r="CL508" s="259"/>
      <c r="CM508" s="259"/>
      <c r="CN508" s="259"/>
      <c r="CO508" s="259"/>
      <c r="CP508" s="259"/>
      <c r="CQ508" s="259"/>
      <c r="CR508" s="259"/>
      <c r="CS508" s="259"/>
      <c r="CT508" s="259"/>
      <c r="CU508" s="259"/>
      <c r="CV508" s="259"/>
      <c r="CW508" s="259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259"/>
      <c r="BP509" s="259"/>
      <c r="BQ509" s="259"/>
      <c r="BR509" s="259"/>
      <c r="BS509" s="259"/>
      <c r="BT509" s="259"/>
      <c r="BU509" s="259"/>
      <c r="BV509" s="259"/>
      <c r="BW509" s="259"/>
      <c r="BX509" s="259"/>
      <c r="BY509" s="259"/>
      <c r="BZ509" s="260"/>
      <c r="CA509" s="259"/>
      <c r="CB509" s="259"/>
      <c r="CC509" s="259"/>
      <c r="CD509" s="259"/>
      <c r="CE509" s="259"/>
      <c r="CF509" s="259"/>
      <c r="CG509" s="259"/>
      <c r="CH509" s="259"/>
      <c r="CI509" s="259"/>
      <c r="CJ509" s="259"/>
      <c r="CK509" s="259"/>
      <c r="CL509" s="259"/>
      <c r="CM509" s="259"/>
      <c r="CN509" s="259"/>
      <c r="CO509" s="259"/>
      <c r="CP509" s="259"/>
      <c r="CQ509" s="259"/>
      <c r="CR509" s="259"/>
      <c r="CS509" s="259"/>
      <c r="CT509" s="259"/>
      <c r="CU509" s="259"/>
      <c r="CV509" s="259"/>
      <c r="CW509" s="259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259"/>
      <c r="BP510" s="259"/>
      <c r="BQ510" s="259"/>
      <c r="BR510" s="259"/>
      <c r="BS510" s="259"/>
      <c r="BT510" s="259"/>
      <c r="BU510" s="259"/>
      <c r="BV510" s="259"/>
      <c r="BW510" s="259"/>
      <c r="BX510" s="259"/>
      <c r="BY510" s="259"/>
      <c r="BZ510" s="260"/>
      <c r="CA510" s="259"/>
      <c r="CB510" s="259"/>
      <c r="CC510" s="259"/>
      <c r="CD510" s="259"/>
      <c r="CE510" s="259"/>
      <c r="CF510" s="259"/>
      <c r="CG510" s="259"/>
      <c r="CH510" s="259"/>
      <c r="CI510" s="259"/>
      <c r="CJ510" s="259"/>
      <c r="CK510" s="259"/>
      <c r="CL510" s="259"/>
      <c r="CM510" s="259"/>
      <c r="CN510" s="259"/>
      <c r="CO510" s="259"/>
      <c r="CP510" s="259"/>
      <c r="CQ510" s="259"/>
      <c r="CR510" s="259"/>
      <c r="CS510" s="259"/>
      <c r="CT510" s="259"/>
      <c r="CU510" s="259"/>
      <c r="CV510" s="259"/>
      <c r="CW510" s="259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  <c r="BN511" s="30"/>
      <c r="BO511" s="259"/>
      <c r="BP511" s="259"/>
      <c r="BQ511" s="259"/>
      <c r="BR511" s="259"/>
      <c r="BS511" s="259"/>
      <c r="BT511" s="259"/>
      <c r="BU511" s="259"/>
      <c r="BV511" s="259"/>
      <c r="BW511" s="259"/>
      <c r="BX511" s="259"/>
      <c r="BY511" s="259"/>
      <c r="BZ511" s="260"/>
      <c r="CA511" s="259"/>
      <c r="CB511" s="259"/>
      <c r="CC511" s="259"/>
      <c r="CD511" s="259"/>
      <c r="CE511" s="259"/>
      <c r="CF511" s="259"/>
      <c r="CG511" s="259"/>
      <c r="CH511" s="259"/>
      <c r="CI511" s="259"/>
      <c r="CJ511" s="259"/>
      <c r="CK511" s="259"/>
      <c r="CL511" s="259"/>
      <c r="CM511" s="259"/>
      <c r="CN511" s="259"/>
      <c r="CO511" s="259"/>
      <c r="CP511" s="259"/>
      <c r="CQ511" s="259"/>
      <c r="CR511" s="259"/>
      <c r="CS511" s="259"/>
      <c r="CT511" s="259"/>
      <c r="CU511" s="259"/>
      <c r="CV511" s="259"/>
      <c r="CW511" s="259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259"/>
      <c r="BP512" s="259"/>
      <c r="BQ512" s="259"/>
      <c r="BR512" s="259"/>
      <c r="BS512" s="259"/>
      <c r="BT512" s="259"/>
      <c r="BU512" s="259"/>
      <c r="BV512" s="259"/>
      <c r="BW512" s="259"/>
      <c r="BX512" s="259"/>
      <c r="BY512" s="259"/>
      <c r="BZ512" s="260"/>
      <c r="CA512" s="259"/>
      <c r="CB512" s="259"/>
      <c r="CC512" s="259"/>
      <c r="CD512" s="259"/>
      <c r="CE512" s="259"/>
      <c r="CF512" s="259"/>
      <c r="CG512" s="259"/>
      <c r="CH512" s="259"/>
      <c r="CI512" s="259"/>
      <c r="CJ512" s="259"/>
      <c r="CK512" s="259"/>
      <c r="CL512" s="259"/>
      <c r="CM512" s="259"/>
      <c r="CN512" s="259"/>
      <c r="CO512" s="259"/>
      <c r="CP512" s="259"/>
      <c r="CQ512" s="259"/>
      <c r="CR512" s="259"/>
      <c r="CS512" s="259"/>
      <c r="CT512" s="259"/>
      <c r="CU512" s="259"/>
      <c r="CV512" s="259"/>
      <c r="CW512" s="259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259"/>
      <c r="BP513" s="259"/>
      <c r="BQ513" s="259"/>
      <c r="BR513" s="259"/>
      <c r="BS513" s="259"/>
      <c r="BT513" s="259"/>
      <c r="BU513" s="259"/>
      <c r="BV513" s="259"/>
      <c r="BW513" s="259"/>
      <c r="BX513" s="259"/>
      <c r="BY513" s="259"/>
      <c r="BZ513" s="260"/>
      <c r="CA513" s="259"/>
      <c r="CB513" s="259"/>
      <c r="CC513" s="259"/>
      <c r="CD513" s="259"/>
      <c r="CE513" s="259"/>
      <c r="CF513" s="259"/>
      <c r="CG513" s="259"/>
      <c r="CH513" s="259"/>
      <c r="CI513" s="259"/>
      <c r="CJ513" s="259"/>
      <c r="CK513" s="259"/>
      <c r="CL513" s="259"/>
      <c r="CM513" s="259"/>
      <c r="CN513" s="259"/>
      <c r="CO513" s="259"/>
      <c r="CP513" s="259"/>
      <c r="CQ513" s="259"/>
      <c r="CR513" s="259"/>
      <c r="CS513" s="259"/>
      <c r="CT513" s="259"/>
      <c r="CU513" s="259"/>
      <c r="CV513" s="259"/>
      <c r="CW513" s="259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259"/>
      <c r="BP514" s="259"/>
      <c r="BQ514" s="259"/>
      <c r="BR514" s="259"/>
      <c r="BS514" s="259"/>
      <c r="BT514" s="259"/>
      <c r="BU514" s="259"/>
      <c r="BV514" s="259"/>
      <c r="BW514" s="259"/>
      <c r="BX514" s="259"/>
      <c r="BY514" s="259"/>
      <c r="BZ514" s="260"/>
      <c r="CA514" s="259"/>
      <c r="CB514" s="259"/>
      <c r="CC514" s="259"/>
      <c r="CD514" s="259"/>
      <c r="CE514" s="259"/>
      <c r="CF514" s="259"/>
      <c r="CG514" s="259"/>
      <c r="CH514" s="259"/>
      <c r="CI514" s="259"/>
      <c r="CJ514" s="259"/>
      <c r="CK514" s="259"/>
      <c r="CL514" s="259"/>
      <c r="CM514" s="259"/>
      <c r="CN514" s="259"/>
      <c r="CO514" s="259"/>
      <c r="CP514" s="259"/>
      <c r="CQ514" s="259"/>
      <c r="CR514" s="259"/>
      <c r="CS514" s="259"/>
      <c r="CT514" s="259"/>
      <c r="CU514" s="259"/>
      <c r="CV514" s="259"/>
      <c r="CW514" s="259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259"/>
      <c r="BP515" s="259"/>
      <c r="BQ515" s="259"/>
      <c r="BR515" s="259"/>
      <c r="BS515" s="259"/>
      <c r="BT515" s="259"/>
      <c r="BU515" s="259"/>
      <c r="BV515" s="259"/>
      <c r="BW515" s="259"/>
      <c r="BX515" s="259"/>
      <c r="BY515" s="259"/>
      <c r="BZ515" s="260"/>
      <c r="CA515" s="259"/>
      <c r="CB515" s="259"/>
      <c r="CC515" s="259"/>
      <c r="CD515" s="259"/>
      <c r="CE515" s="259"/>
      <c r="CF515" s="259"/>
      <c r="CG515" s="259"/>
      <c r="CH515" s="259"/>
      <c r="CI515" s="259"/>
      <c r="CJ515" s="259"/>
      <c r="CK515" s="259"/>
      <c r="CL515" s="259"/>
      <c r="CM515" s="259"/>
      <c r="CN515" s="259"/>
      <c r="CO515" s="259"/>
      <c r="CP515" s="259"/>
      <c r="CQ515" s="259"/>
      <c r="CR515" s="259"/>
      <c r="CS515" s="259"/>
      <c r="CT515" s="259"/>
      <c r="CU515" s="259"/>
      <c r="CV515" s="259"/>
      <c r="CW515" s="259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259"/>
      <c r="BP516" s="259"/>
      <c r="BQ516" s="259"/>
      <c r="BR516" s="259"/>
      <c r="BS516" s="259"/>
      <c r="BT516" s="259"/>
      <c r="BU516" s="259"/>
      <c r="BV516" s="259"/>
      <c r="BW516" s="259"/>
      <c r="BX516" s="259"/>
      <c r="BY516" s="259"/>
      <c r="BZ516" s="260"/>
      <c r="CA516" s="259"/>
      <c r="CB516" s="259"/>
      <c r="CC516" s="259"/>
      <c r="CD516" s="259"/>
      <c r="CE516" s="259"/>
      <c r="CF516" s="259"/>
      <c r="CG516" s="259"/>
      <c r="CH516" s="259"/>
      <c r="CI516" s="259"/>
      <c r="CJ516" s="259"/>
      <c r="CK516" s="259"/>
      <c r="CL516" s="259"/>
      <c r="CM516" s="259"/>
      <c r="CN516" s="259"/>
      <c r="CO516" s="259"/>
      <c r="CP516" s="259"/>
      <c r="CQ516" s="259"/>
      <c r="CR516" s="259"/>
      <c r="CS516" s="259"/>
      <c r="CT516" s="259"/>
      <c r="CU516" s="259"/>
      <c r="CV516" s="259"/>
      <c r="CW516" s="259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30"/>
      <c r="BL517" s="30"/>
      <c r="BM517" s="30"/>
      <c r="BN517" s="30"/>
      <c r="BO517" s="259"/>
      <c r="BP517" s="259"/>
      <c r="BQ517" s="259"/>
      <c r="BR517" s="259"/>
      <c r="BS517" s="259"/>
      <c r="BT517" s="259"/>
      <c r="BU517" s="259"/>
      <c r="BV517" s="259"/>
      <c r="BW517" s="259"/>
      <c r="BX517" s="259"/>
      <c r="BY517" s="259"/>
      <c r="BZ517" s="260"/>
      <c r="CA517" s="259"/>
      <c r="CB517" s="259"/>
      <c r="CC517" s="259"/>
      <c r="CD517" s="259"/>
      <c r="CE517" s="259"/>
      <c r="CF517" s="259"/>
      <c r="CG517" s="259"/>
      <c r="CH517" s="259"/>
      <c r="CI517" s="259"/>
      <c r="CJ517" s="259"/>
      <c r="CK517" s="259"/>
      <c r="CL517" s="259"/>
      <c r="CM517" s="259"/>
      <c r="CN517" s="259"/>
      <c r="CO517" s="259"/>
      <c r="CP517" s="259"/>
      <c r="CQ517" s="259"/>
      <c r="CR517" s="259"/>
      <c r="CS517" s="259"/>
      <c r="CT517" s="259"/>
      <c r="CU517" s="259"/>
      <c r="CV517" s="259"/>
      <c r="CW517" s="259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259"/>
      <c r="BP518" s="259"/>
      <c r="BQ518" s="259"/>
      <c r="BR518" s="259"/>
      <c r="BS518" s="259"/>
      <c r="BT518" s="259"/>
      <c r="BU518" s="259"/>
      <c r="BV518" s="259"/>
      <c r="BW518" s="259"/>
      <c r="BX518" s="259"/>
      <c r="BY518" s="259"/>
      <c r="BZ518" s="260"/>
      <c r="CA518" s="259"/>
      <c r="CB518" s="259"/>
      <c r="CC518" s="259"/>
      <c r="CD518" s="259"/>
      <c r="CE518" s="259"/>
      <c r="CF518" s="259"/>
      <c r="CG518" s="259"/>
      <c r="CH518" s="259"/>
      <c r="CI518" s="259"/>
      <c r="CJ518" s="259"/>
      <c r="CK518" s="259"/>
      <c r="CL518" s="259"/>
      <c r="CM518" s="259"/>
      <c r="CN518" s="259"/>
      <c r="CO518" s="259"/>
      <c r="CP518" s="259"/>
      <c r="CQ518" s="259"/>
      <c r="CR518" s="259"/>
      <c r="CS518" s="259"/>
      <c r="CT518" s="259"/>
      <c r="CU518" s="259"/>
      <c r="CV518" s="259"/>
      <c r="CW518" s="259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30"/>
      <c r="BL519" s="30"/>
      <c r="BM519" s="30"/>
      <c r="BN519" s="30"/>
      <c r="BO519" s="259"/>
      <c r="BP519" s="259"/>
      <c r="BQ519" s="259"/>
      <c r="BR519" s="259"/>
      <c r="BS519" s="259"/>
      <c r="BT519" s="259"/>
      <c r="BU519" s="259"/>
      <c r="BV519" s="259"/>
      <c r="BW519" s="259"/>
      <c r="BX519" s="259"/>
      <c r="BY519" s="259"/>
      <c r="BZ519" s="260"/>
      <c r="CA519" s="259"/>
      <c r="CB519" s="259"/>
      <c r="CC519" s="259"/>
      <c r="CD519" s="259"/>
      <c r="CE519" s="259"/>
      <c r="CF519" s="259"/>
      <c r="CG519" s="259"/>
      <c r="CH519" s="259"/>
      <c r="CI519" s="259"/>
      <c r="CJ519" s="259"/>
      <c r="CK519" s="259"/>
      <c r="CL519" s="259"/>
      <c r="CM519" s="259"/>
      <c r="CN519" s="259"/>
      <c r="CO519" s="259"/>
      <c r="CP519" s="259"/>
      <c r="CQ519" s="259"/>
      <c r="CR519" s="259"/>
      <c r="CS519" s="259"/>
      <c r="CT519" s="259"/>
      <c r="CU519" s="259"/>
      <c r="CV519" s="259"/>
      <c r="CW519" s="259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259"/>
      <c r="BP520" s="259"/>
      <c r="BQ520" s="259"/>
      <c r="BR520" s="259"/>
      <c r="BS520" s="259"/>
      <c r="BT520" s="259"/>
      <c r="BU520" s="259"/>
      <c r="BV520" s="259"/>
      <c r="BW520" s="259"/>
      <c r="BX520" s="259"/>
      <c r="BY520" s="259"/>
      <c r="BZ520" s="260"/>
      <c r="CA520" s="259"/>
      <c r="CB520" s="259"/>
      <c r="CC520" s="259"/>
      <c r="CD520" s="259"/>
      <c r="CE520" s="259"/>
      <c r="CF520" s="259"/>
      <c r="CG520" s="259"/>
      <c r="CH520" s="259"/>
      <c r="CI520" s="259"/>
      <c r="CJ520" s="259"/>
      <c r="CK520" s="259"/>
      <c r="CL520" s="259"/>
      <c r="CM520" s="259"/>
      <c r="CN520" s="259"/>
      <c r="CO520" s="259"/>
      <c r="CP520" s="259"/>
      <c r="CQ520" s="259"/>
      <c r="CR520" s="259"/>
      <c r="CS520" s="259"/>
      <c r="CT520" s="259"/>
      <c r="CU520" s="259"/>
      <c r="CV520" s="259"/>
      <c r="CW520" s="259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259"/>
      <c r="BP521" s="259"/>
      <c r="BQ521" s="259"/>
      <c r="BR521" s="259"/>
      <c r="BS521" s="259"/>
      <c r="BT521" s="259"/>
      <c r="BU521" s="259"/>
      <c r="BV521" s="259"/>
      <c r="BW521" s="259"/>
      <c r="BX521" s="259"/>
      <c r="BY521" s="259"/>
      <c r="BZ521" s="260"/>
      <c r="CA521" s="259"/>
      <c r="CB521" s="259"/>
      <c r="CC521" s="259"/>
      <c r="CD521" s="259"/>
      <c r="CE521" s="259"/>
      <c r="CF521" s="259"/>
      <c r="CG521" s="259"/>
      <c r="CH521" s="259"/>
      <c r="CI521" s="259"/>
      <c r="CJ521" s="259"/>
      <c r="CK521" s="259"/>
      <c r="CL521" s="259"/>
      <c r="CM521" s="259"/>
      <c r="CN521" s="259"/>
      <c r="CO521" s="259"/>
      <c r="CP521" s="259"/>
      <c r="CQ521" s="259"/>
      <c r="CR521" s="259"/>
      <c r="CS521" s="259"/>
      <c r="CT521" s="259"/>
      <c r="CU521" s="259"/>
      <c r="CV521" s="259"/>
      <c r="CW521" s="259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259"/>
      <c r="BP522" s="259"/>
      <c r="BQ522" s="259"/>
      <c r="BR522" s="259"/>
      <c r="BS522" s="259"/>
      <c r="BT522" s="259"/>
      <c r="BU522" s="259"/>
      <c r="BV522" s="259"/>
      <c r="BW522" s="259"/>
      <c r="BX522" s="259"/>
      <c r="BY522" s="259"/>
      <c r="BZ522" s="260"/>
      <c r="CA522" s="259"/>
      <c r="CB522" s="259"/>
      <c r="CC522" s="259"/>
      <c r="CD522" s="259"/>
      <c r="CE522" s="259"/>
      <c r="CF522" s="259"/>
      <c r="CG522" s="259"/>
      <c r="CH522" s="259"/>
      <c r="CI522" s="259"/>
      <c r="CJ522" s="259"/>
      <c r="CK522" s="259"/>
      <c r="CL522" s="259"/>
      <c r="CM522" s="259"/>
      <c r="CN522" s="259"/>
      <c r="CO522" s="259"/>
      <c r="CP522" s="259"/>
      <c r="CQ522" s="259"/>
      <c r="CR522" s="259"/>
      <c r="CS522" s="259"/>
      <c r="CT522" s="259"/>
      <c r="CU522" s="259"/>
      <c r="CV522" s="259"/>
      <c r="CW522" s="259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259"/>
      <c r="BP523" s="259"/>
      <c r="BQ523" s="259"/>
      <c r="BR523" s="259"/>
      <c r="BS523" s="259"/>
      <c r="BT523" s="259"/>
      <c r="BU523" s="259"/>
      <c r="BV523" s="259"/>
      <c r="BW523" s="259"/>
      <c r="BX523" s="259"/>
      <c r="BY523" s="259"/>
      <c r="BZ523" s="260"/>
      <c r="CA523" s="259"/>
      <c r="CB523" s="259"/>
      <c r="CC523" s="259"/>
      <c r="CD523" s="259"/>
      <c r="CE523" s="259"/>
      <c r="CF523" s="259"/>
      <c r="CG523" s="259"/>
      <c r="CH523" s="259"/>
      <c r="CI523" s="259"/>
      <c r="CJ523" s="259"/>
      <c r="CK523" s="259"/>
      <c r="CL523" s="259"/>
      <c r="CM523" s="259"/>
      <c r="CN523" s="259"/>
      <c r="CO523" s="259"/>
      <c r="CP523" s="259"/>
      <c r="CQ523" s="259"/>
      <c r="CR523" s="259"/>
      <c r="CS523" s="259"/>
      <c r="CT523" s="259"/>
      <c r="CU523" s="259"/>
      <c r="CV523" s="259"/>
      <c r="CW523" s="259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259"/>
      <c r="BP524" s="259"/>
      <c r="BQ524" s="259"/>
      <c r="BR524" s="259"/>
      <c r="BS524" s="259"/>
      <c r="BT524" s="259"/>
      <c r="BU524" s="259"/>
      <c r="BV524" s="259"/>
      <c r="BW524" s="259"/>
      <c r="BX524" s="259"/>
      <c r="BY524" s="259"/>
      <c r="BZ524" s="260"/>
      <c r="CA524" s="259"/>
      <c r="CB524" s="259"/>
      <c r="CC524" s="259"/>
      <c r="CD524" s="259"/>
      <c r="CE524" s="259"/>
      <c r="CF524" s="259"/>
      <c r="CG524" s="259"/>
      <c r="CH524" s="259"/>
      <c r="CI524" s="259"/>
      <c r="CJ524" s="259"/>
      <c r="CK524" s="259"/>
      <c r="CL524" s="259"/>
      <c r="CM524" s="259"/>
      <c r="CN524" s="259"/>
      <c r="CO524" s="259"/>
      <c r="CP524" s="259"/>
      <c r="CQ524" s="259"/>
      <c r="CR524" s="259"/>
      <c r="CS524" s="259"/>
      <c r="CT524" s="259"/>
      <c r="CU524" s="259"/>
      <c r="CV524" s="259"/>
      <c r="CW524" s="259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  <c r="BN525" s="30"/>
      <c r="BO525" s="259"/>
      <c r="BP525" s="259"/>
      <c r="BQ525" s="259"/>
      <c r="BR525" s="259"/>
      <c r="BS525" s="259"/>
      <c r="BT525" s="259"/>
      <c r="BU525" s="259"/>
      <c r="BV525" s="259"/>
      <c r="BW525" s="259"/>
      <c r="BX525" s="259"/>
      <c r="BY525" s="259"/>
      <c r="BZ525" s="260"/>
      <c r="CA525" s="259"/>
      <c r="CB525" s="259"/>
      <c r="CC525" s="259"/>
      <c r="CD525" s="259"/>
      <c r="CE525" s="259"/>
      <c r="CF525" s="259"/>
      <c r="CG525" s="259"/>
      <c r="CH525" s="259"/>
      <c r="CI525" s="259"/>
      <c r="CJ525" s="259"/>
      <c r="CK525" s="259"/>
      <c r="CL525" s="259"/>
      <c r="CM525" s="259"/>
      <c r="CN525" s="259"/>
      <c r="CO525" s="259"/>
      <c r="CP525" s="259"/>
      <c r="CQ525" s="259"/>
      <c r="CR525" s="259"/>
      <c r="CS525" s="259"/>
      <c r="CT525" s="259"/>
      <c r="CU525" s="259"/>
      <c r="CV525" s="259"/>
      <c r="CW525" s="259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259"/>
      <c r="BP526" s="259"/>
      <c r="BQ526" s="259"/>
      <c r="BR526" s="259"/>
      <c r="BS526" s="259"/>
      <c r="BT526" s="259"/>
      <c r="BU526" s="259"/>
      <c r="BV526" s="259"/>
      <c r="BW526" s="259"/>
      <c r="BX526" s="259"/>
      <c r="BY526" s="259"/>
      <c r="BZ526" s="260"/>
      <c r="CA526" s="259"/>
      <c r="CB526" s="259"/>
      <c r="CC526" s="259"/>
      <c r="CD526" s="259"/>
      <c r="CE526" s="259"/>
      <c r="CF526" s="259"/>
      <c r="CG526" s="259"/>
      <c r="CH526" s="259"/>
      <c r="CI526" s="259"/>
      <c r="CJ526" s="259"/>
      <c r="CK526" s="259"/>
      <c r="CL526" s="259"/>
      <c r="CM526" s="259"/>
      <c r="CN526" s="259"/>
      <c r="CO526" s="259"/>
      <c r="CP526" s="259"/>
      <c r="CQ526" s="259"/>
      <c r="CR526" s="259"/>
      <c r="CS526" s="259"/>
      <c r="CT526" s="259"/>
      <c r="CU526" s="259"/>
      <c r="CV526" s="259"/>
      <c r="CW526" s="259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259"/>
      <c r="BP527" s="259"/>
      <c r="BQ527" s="259"/>
      <c r="BR527" s="259"/>
      <c r="BS527" s="259"/>
      <c r="BT527" s="259"/>
      <c r="BU527" s="259"/>
      <c r="BV527" s="259"/>
      <c r="BW527" s="259"/>
      <c r="BX527" s="259"/>
      <c r="BY527" s="259"/>
      <c r="BZ527" s="260"/>
      <c r="CA527" s="259"/>
      <c r="CB527" s="259"/>
      <c r="CC527" s="259"/>
      <c r="CD527" s="259"/>
      <c r="CE527" s="259"/>
      <c r="CF527" s="259"/>
      <c r="CG527" s="259"/>
      <c r="CH527" s="259"/>
      <c r="CI527" s="259"/>
      <c r="CJ527" s="259"/>
      <c r="CK527" s="259"/>
      <c r="CL527" s="259"/>
      <c r="CM527" s="259"/>
      <c r="CN527" s="259"/>
      <c r="CO527" s="259"/>
      <c r="CP527" s="259"/>
      <c r="CQ527" s="259"/>
      <c r="CR527" s="259"/>
      <c r="CS527" s="259"/>
      <c r="CT527" s="259"/>
      <c r="CU527" s="259"/>
      <c r="CV527" s="259"/>
      <c r="CW527" s="259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259"/>
      <c r="BP528" s="259"/>
      <c r="BQ528" s="259"/>
      <c r="BR528" s="259"/>
      <c r="BS528" s="259"/>
      <c r="BT528" s="259"/>
      <c r="BU528" s="259"/>
      <c r="BV528" s="259"/>
      <c r="BW528" s="259"/>
      <c r="BX528" s="259"/>
      <c r="BY528" s="259"/>
      <c r="BZ528" s="260"/>
      <c r="CA528" s="259"/>
      <c r="CB528" s="259"/>
      <c r="CC528" s="259"/>
      <c r="CD528" s="259"/>
      <c r="CE528" s="259"/>
      <c r="CF528" s="259"/>
      <c r="CG528" s="259"/>
      <c r="CH528" s="259"/>
      <c r="CI528" s="259"/>
      <c r="CJ528" s="259"/>
      <c r="CK528" s="259"/>
      <c r="CL528" s="259"/>
      <c r="CM528" s="259"/>
      <c r="CN528" s="259"/>
      <c r="CO528" s="259"/>
      <c r="CP528" s="259"/>
      <c r="CQ528" s="259"/>
      <c r="CR528" s="259"/>
      <c r="CS528" s="259"/>
      <c r="CT528" s="259"/>
      <c r="CU528" s="259"/>
      <c r="CV528" s="259"/>
      <c r="CW528" s="259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259"/>
      <c r="BP529" s="259"/>
      <c r="BQ529" s="259"/>
      <c r="BR529" s="259"/>
      <c r="BS529" s="259"/>
      <c r="BT529" s="259"/>
      <c r="BU529" s="259"/>
      <c r="BV529" s="259"/>
      <c r="BW529" s="259"/>
      <c r="BX529" s="259"/>
      <c r="BY529" s="259"/>
      <c r="BZ529" s="260"/>
      <c r="CA529" s="259"/>
      <c r="CB529" s="259"/>
      <c r="CC529" s="259"/>
      <c r="CD529" s="259"/>
      <c r="CE529" s="259"/>
      <c r="CF529" s="259"/>
      <c r="CG529" s="259"/>
      <c r="CH529" s="259"/>
      <c r="CI529" s="259"/>
      <c r="CJ529" s="259"/>
      <c r="CK529" s="259"/>
      <c r="CL529" s="259"/>
      <c r="CM529" s="259"/>
      <c r="CN529" s="259"/>
      <c r="CO529" s="259"/>
      <c r="CP529" s="259"/>
      <c r="CQ529" s="259"/>
      <c r="CR529" s="259"/>
      <c r="CS529" s="259"/>
      <c r="CT529" s="259"/>
      <c r="CU529" s="259"/>
      <c r="CV529" s="259"/>
      <c r="CW529" s="259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259"/>
      <c r="BP530" s="259"/>
      <c r="BQ530" s="259"/>
      <c r="BR530" s="259"/>
      <c r="BS530" s="259"/>
      <c r="BT530" s="259"/>
      <c r="BU530" s="259"/>
      <c r="BV530" s="259"/>
      <c r="BW530" s="259"/>
      <c r="BX530" s="259"/>
      <c r="BY530" s="259"/>
      <c r="BZ530" s="260"/>
      <c r="CA530" s="259"/>
      <c r="CB530" s="259"/>
      <c r="CC530" s="259"/>
      <c r="CD530" s="259"/>
      <c r="CE530" s="259"/>
      <c r="CF530" s="259"/>
      <c r="CG530" s="259"/>
      <c r="CH530" s="259"/>
      <c r="CI530" s="259"/>
      <c r="CJ530" s="259"/>
      <c r="CK530" s="259"/>
      <c r="CL530" s="259"/>
      <c r="CM530" s="259"/>
      <c r="CN530" s="259"/>
      <c r="CO530" s="259"/>
      <c r="CP530" s="259"/>
      <c r="CQ530" s="259"/>
      <c r="CR530" s="259"/>
      <c r="CS530" s="259"/>
      <c r="CT530" s="259"/>
      <c r="CU530" s="259"/>
      <c r="CV530" s="259"/>
      <c r="CW530" s="259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259"/>
      <c r="BP531" s="259"/>
      <c r="BQ531" s="259"/>
      <c r="BR531" s="259"/>
      <c r="BS531" s="259"/>
      <c r="BT531" s="259"/>
      <c r="BU531" s="259"/>
      <c r="BV531" s="259"/>
      <c r="BW531" s="259"/>
      <c r="BX531" s="259"/>
      <c r="BY531" s="259"/>
      <c r="BZ531" s="260"/>
      <c r="CA531" s="259"/>
      <c r="CB531" s="259"/>
      <c r="CC531" s="259"/>
      <c r="CD531" s="259"/>
      <c r="CE531" s="259"/>
      <c r="CF531" s="259"/>
      <c r="CG531" s="259"/>
      <c r="CH531" s="259"/>
      <c r="CI531" s="259"/>
      <c r="CJ531" s="259"/>
      <c r="CK531" s="259"/>
      <c r="CL531" s="259"/>
      <c r="CM531" s="259"/>
      <c r="CN531" s="259"/>
      <c r="CO531" s="259"/>
      <c r="CP531" s="259"/>
      <c r="CQ531" s="259"/>
      <c r="CR531" s="259"/>
      <c r="CS531" s="259"/>
      <c r="CT531" s="259"/>
      <c r="CU531" s="259"/>
      <c r="CV531" s="259"/>
      <c r="CW531" s="259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259"/>
      <c r="BP532" s="259"/>
      <c r="BQ532" s="259"/>
      <c r="BR532" s="259"/>
      <c r="BS532" s="259"/>
      <c r="BT532" s="259"/>
      <c r="BU532" s="259"/>
      <c r="BV532" s="259"/>
      <c r="BW532" s="259"/>
      <c r="BX532" s="259"/>
      <c r="BY532" s="259"/>
      <c r="BZ532" s="260"/>
      <c r="CA532" s="259"/>
      <c r="CB532" s="259"/>
      <c r="CC532" s="259"/>
      <c r="CD532" s="259"/>
      <c r="CE532" s="259"/>
      <c r="CF532" s="259"/>
      <c r="CG532" s="259"/>
      <c r="CH532" s="259"/>
      <c r="CI532" s="259"/>
      <c r="CJ532" s="259"/>
      <c r="CK532" s="259"/>
      <c r="CL532" s="259"/>
      <c r="CM532" s="259"/>
      <c r="CN532" s="259"/>
      <c r="CO532" s="259"/>
      <c r="CP532" s="259"/>
      <c r="CQ532" s="259"/>
      <c r="CR532" s="259"/>
      <c r="CS532" s="259"/>
      <c r="CT532" s="259"/>
      <c r="CU532" s="259"/>
      <c r="CV532" s="259"/>
      <c r="CW532" s="259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259"/>
      <c r="BP533" s="259"/>
      <c r="BQ533" s="259"/>
      <c r="BR533" s="259"/>
      <c r="BS533" s="259"/>
      <c r="BT533" s="259"/>
      <c r="BU533" s="259"/>
      <c r="BV533" s="259"/>
      <c r="BW533" s="259"/>
      <c r="BX533" s="259"/>
      <c r="BY533" s="259"/>
      <c r="BZ533" s="260"/>
      <c r="CA533" s="259"/>
      <c r="CB533" s="259"/>
      <c r="CC533" s="259"/>
      <c r="CD533" s="259"/>
      <c r="CE533" s="259"/>
      <c r="CF533" s="259"/>
      <c r="CG533" s="259"/>
      <c r="CH533" s="259"/>
      <c r="CI533" s="259"/>
      <c r="CJ533" s="259"/>
      <c r="CK533" s="259"/>
      <c r="CL533" s="259"/>
      <c r="CM533" s="259"/>
      <c r="CN533" s="259"/>
      <c r="CO533" s="259"/>
      <c r="CP533" s="259"/>
      <c r="CQ533" s="259"/>
      <c r="CR533" s="259"/>
      <c r="CS533" s="259"/>
      <c r="CT533" s="259"/>
      <c r="CU533" s="259"/>
      <c r="CV533" s="259"/>
      <c r="CW533" s="259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259"/>
      <c r="BP534" s="259"/>
      <c r="BQ534" s="259"/>
      <c r="BR534" s="259"/>
      <c r="BS534" s="259"/>
      <c r="BT534" s="259"/>
      <c r="BU534" s="259"/>
      <c r="BV534" s="259"/>
      <c r="BW534" s="259"/>
      <c r="BX534" s="259"/>
      <c r="BY534" s="259"/>
      <c r="BZ534" s="260"/>
      <c r="CA534" s="259"/>
      <c r="CB534" s="259"/>
      <c r="CC534" s="259"/>
      <c r="CD534" s="259"/>
      <c r="CE534" s="259"/>
      <c r="CF534" s="259"/>
      <c r="CG534" s="259"/>
      <c r="CH534" s="259"/>
      <c r="CI534" s="259"/>
      <c r="CJ534" s="259"/>
      <c r="CK534" s="259"/>
      <c r="CL534" s="259"/>
      <c r="CM534" s="259"/>
      <c r="CN534" s="259"/>
      <c r="CO534" s="259"/>
      <c r="CP534" s="259"/>
      <c r="CQ534" s="259"/>
      <c r="CR534" s="259"/>
      <c r="CS534" s="259"/>
      <c r="CT534" s="259"/>
      <c r="CU534" s="259"/>
      <c r="CV534" s="259"/>
      <c r="CW534" s="259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259"/>
      <c r="BP535" s="259"/>
      <c r="BQ535" s="259"/>
      <c r="BR535" s="259"/>
      <c r="BS535" s="259"/>
      <c r="BT535" s="259"/>
      <c r="BU535" s="259"/>
      <c r="BV535" s="259"/>
      <c r="BW535" s="259"/>
      <c r="BX535" s="259"/>
      <c r="BY535" s="259"/>
      <c r="BZ535" s="260"/>
      <c r="CA535" s="259"/>
      <c r="CB535" s="259"/>
      <c r="CC535" s="259"/>
      <c r="CD535" s="259"/>
      <c r="CE535" s="259"/>
      <c r="CF535" s="259"/>
      <c r="CG535" s="259"/>
      <c r="CH535" s="259"/>
      <c r="CI535" s="259"/>
      <c r="CJ535" s="259"/>
      <c r="CK535" s="259"/>
      <c r="CL535" s="259"/>
      <c r="CM535" s="259"/>
      <c r="CN535" s="259"/>
      <c r="CO535" s="259"/>
      <c r="CP535" s="259"/>
      <c r="CQ535" s="259"/>
      <c r="CR535" s="259"/>
      <c r="CS535" s="259"/>
      <c r="CT535" s="259"/>
      <c r="CU535" s="259"/>
      <c r="CV535" s="259"/>
      <c r="CW535" s="259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259"/>
      <c r="BP536" s="259"/>
      <c r="BQ536" s="259"/>
      <c r="BR536" s="259"/>
      <c r="BS536" s="259"/>
      <c r="BT536" s="259"/>
      <c r="BU536" s="259"/>
      <c r="BV536" s="259"/>
      <c r="BW536" s="259"/>
      <c r="BX536" s="259"/>
      <c r="BY536" s="259"/>
      <c r="BZ536" s="260"/>
      <c r="CA536" s="259"/>
      <c r="CB536" s="259"/>
      <c r="CC536" s="259"/>
      <c r="CD536" s="259"/>
      <c r="CE536" s="259"/>
      <c r="CF536" s="259"/>
      <c r="CG536" s="259"/>
      <c r="CH536" s="259"/>
      <c r="CI536" s="259"/>
      <c r="CJ536" s="259"/>
      <c r="CK536" s="259"/>
      <c r="CL536" s="259"/>
      <c r="CM536" s="259"/>
      <c r="CN536" s="259"/>
      <c r="CO536" s="259"/>
      <c r="CP536" s="259"/>
      <c r="CQ536" s="259"/>
      <c r="CR536" s="259"/>
      <c r="CS536" s="259"/>
      <c r="CT536" s="259"/>
      <c r="CU536" s="259"/>
      <c r="CV536" s="259"/>
      <c r="CW536" s="259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259"/>
      <c r="BP537" s="259"/>
      <c r="BQ537" s="259"/>
      <c r="BR537" s="259"/>
      <c r="BS537" s="259"/>
      <c r="BT537" s="259"/>
      <c r="BU537" s="259"/>
      <c r="BV537" s="259"/>
      <c r="BW537" s="259"/>
      <c r="BX537" s="259"/>
      <c r="BY537" s="259"/>
      <c r="BZ537" s="260"/>
      <c r="CA537" s="259"/>
      <c r="CB537" s="259"/>
      <c r="CC537" s="259"/>
      <c r="CD537" s="259"/>
      <c r="CE537" s="259"/>
      <c r="CF537" s="259"/>
      <c r="CG537" s="259"/>
      <c r="CH537" s="259"/>
      <c r="CI537" s="259"/>
      <c r="CJ537" s="259"/>
      <c r="CK537" s="259"/>
      <c r="CL537" s="259"/>
      <c r="CM537" s="259"/>
      <c r="CN537" s="259"/>
      <c r="CO537" s="259"/>
      <c r="CP537" s="259"/>
      <c r="CQ537" s="259"/>
      <c r="CR537" s="259"/>
      <c r="CS537" s="259"/>
      <c r="CT537" s="259"/>
      <c r="CU537" s="259"/>
      <c r="CV537" s="259"/>
      <c r="CW537" s="259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259"/>
      <c r="BP538" s="259"/>
      <c r="BQ538" s="259"/>
      <c r="BR538" s="259"/>
      <c r="BS538" s="259"/>
      <c r="BT538" s="259"/>
      <c r="BU538" s="259"/>
      <c r="BV538" s="259"/>
      <c r="BW538" s="259"/>
      <c r="BX538" s="259"/>
      <c r="BY538" s="259"/>
      <c r="BZ538" s="260"/>
      <c r="CA538" s="259"/>
      <c r="CB538" s="259"/>
      <c r="CC538" s="259"/>
      <c r="CD538" s="259"/>
      <c r="CE538" s="259"/>
      <c r="CF538" s="259"/>
      <c r="CG538" s="259"/>
      <c r="CH538" s="259"/>
      <c r="CI538" s="259"/>
      <c r="CJ538" s="259"/>
      <c r="CK538" s="259"/>
      <c r="CL538" s="259"/>
      <c r="CM538" s="259"/>
      <c r="CN538" s="259"/>
      <c r="CO538" s="259"/>
      <c r="CP538" s="259"/>
      <c r="CQ538" s="259"/>
      <c r="CR538" s="259"/>
      <c r="CS538" s="259"/>
      <c r="CT538" s="259"/>
      <c r="CU538" s="259"/>
      <c r="CV538" s="259"/>
      <c r="CW538" s="259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259"/>
      <c r="BP539" s="259"/>
      <c r="BQ539" s="259"/>
      <c r="BR539" s="259"/>
      <c r="BS539" s="259"/>
      <c r="BT539" s="259"/>
      <c r="BU539" s="259"/>
      <c r="BV539" s="259"/>
      <c r="BW539" s="259"/>
      <c r="BX539" s="259"/>
      <c r="BY539" s="259"/>
      <c r="BZ539" s="260"/>
      <c r="CA539" s="259"/>
      <c r="CB539" s="259"/>
      <c r="CC539" s="259"/>
      <c r="CD539" s="259"/>
      <c r="CE539" s="259"/>
      <c r="CF539" s="259"/>
      <c r="CG539" s="259"/>
      <c r="CH539" s="259"/>
      <c r="CI539" s="259"/>
      <c r="CJ539" s="259"/>
      <c r="CK539" s="259"/>
      <c r="CL539" s="259"/>
      <c r="CM539" s="259"/>
      <c r="CN539" s="259"/>
      <c r="CO539" s="259"/>
      <c r="CP539" s="259"/>
      <c r="CQ539" s="259"/>
      <c r="CR539" s="259"/>
      <c r="CS539" s="259"/>
      <c r="CT539" s="259"/>
      <c r="CU539" s="259"/>
      <c r="CV539" s="259"/>
      <c r="CW539" s="259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259"/>
      <c r="BP540" s="259"/>
      <c r="BQ540" s="259"/>
      <c r="BR540" s="259"/>
      <c r="BS540" s="259"/>
      <c r="BT540" s="259"/>
      <c r="BU540" s="259"/>
      <c r="BV540" s="259"/>
      <c r="BW540" s="259"/>
      <c r="BX540" s="259"/>
      <c r="BY540" s="259"/>
      <c r="BZ540" s="260"/>
      <c r="CA540" s="259"/>
      <c r="CB540" s="259"/>
      <c r="CC540" s="259"/>
      <c r="CD540" s="259"/>
      <c r="CE540" s="259"/>
      <c r="CF540" s="259"/>
      <c r="CG540" s="259"/>
      <c r="CH540" s="259"/>
      <c r="CI540" s="259"/>
      <c r="CJ540" s="259"/>
      <c r="CK540" s="259"/>
      <c r="CL540" s="259"/>
      <c r="CM540" s="259"/>
      <c r="CN540" s="259"/>
      <c r="CO540" s="259"/>
      <c r="CP540" s="259"/>
      <c r="CQ540" s="259"/>
      <c r="CR540" s="259"/>
      <c r="CS540" s="259"/>
      <c r="CT540" s="259"/>
      <c r="CU540" s="259"/>
      <c r="CV540" s="259"/>
      <c r="CW540" s="259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259"/>
      <c r="BP541" s="259"/>
      <c r="BQ541" s="259"/>
      <c r="BR541" s="259"/>
      <c r="BS541" s="259"/>
      <c r="BT541" s="259"/>
      <c r="BU541" s="259"/>
      <c r="BV541" s="259"/>
      <c r="BW541" s="259"/>
      <c r="BX541" s="259"/>
      <c r="BY541" s="259"/>
      <c r="BZ541" s="260"/>
      <c r="CA541" s="259"/>
      <c r="CB541" s="259"/>
      <c r="CC541" s="259"/>
      <c r="CD541" s="259"/>
      <c r="CE541" s="259"/>
      <c r="CF541" s="259"/>
      <c r="CG541" s="259"/>
      <c r="CH541" s="259"/>
      <c r="CI541" s="259"/>
      <c r="CJ541" s="259"/>
      <c r="CK541" s="259"/>
      <c r="CL541" s="259"/>
      <c r="CM541" s="259"/>
      <c r="CN541" s="259"/>
      <c r="CO541" s="259"/>
      <c r="CP541" s="259"/>
      <c r="CQ541" s="259"/>
      <c r="CR541" s="259"/>
      <c r="CS541" s="259"/>
      <c r="CT541" s="259"/>
      <c r="CU541" s="259"/>
      <c r="CV541" s="259"/>
      <c r="CW541" s="259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259"/>
      <c r="BP542" s="259"/>
      <c r="BQ542" s="259"/>
      <c r="BR542" s="259"/>
      <c r="BS542" s="259"/>
      <c r="BT542" s="259"/>
      <c r="BU542" s="259"/>
      <c r="BV542" s="259"/>
      <c r="BW542" s="259"/>
      <c r="BX542" s="259"/>
      <c r="BY542" s="259"/>
      <c r="BZ542" s="260"/>
      <c r="CA542" s="259"/>
      <c r="CB542" s="259"/>
      <c r="CC542" s="259"/>
      <c r="CD542" s="259"/>
      <c r="CE542" s="259"/>
      <c r="CF542" s="259"/>
      <c r="CG542" s="259"/>
      <c r="CH542" s="259"/>
      <c r="CI542" s="259"/>
      <c r="CJ542" s="259"/>
      <c r="CK542" s="259"/>
      <c r="CL542" s="259"/>
      <c r="CM542" s="259"/>
      <c r="CN542" s="259"/>
      <c r="CO542" s="259"/>
      <c r="CP542" s="259"/>
      <c r="CQ542" s="259"/>
      <c r="CR542" s="259"/>
      <c r="CS542" s="259"/>
      <c r="CT542" s="259"/>
      <c r="CU542" s="259"/>
      <c r="CV542" s="259"/>
      <c r="CW542" s="259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259"/>
      <c r="BP543" s="259"/>
      <c r="BQ543" s="259"/>
      <c r="BR543" s="259"/>
      <c r="BS543" s="259"/>
      <c r="BT543" s="259"/>
      <c r="BU543" s="259"/>
      <c r="BV543" s="259"/>
      <c r="BW543" s="259"/>
      <c r="BX543" s="259"/>
      <c r="BY543" s="259"/>
      <c r="BZ543" s="260"/>
      <c r="CA543" s="259"/>
      <c r="CB543" s="259"/>
      <c r="CC543" s="259"/>
      <c r="CD543" s="259"/>
      <c r="CE543" s="259"/>
      <c r="CF543" s="259"/>
      <c r="CG543" s="259"/>
      <c r="CH543" s="259"/>
      <c r="CI543" s="259"/>
      <c r="CJ543" s="259"/>
      <c r="CK543" s="259"/>
      <c r="CL543" s="259"/>
      <c r="CM543" s="259"/>
      <c r="CN543" s="259"/>
      <c r="CO543" s="259"/>
      <c r="CP543" s="259"/>
      <c r="CQ543" s="259"/>
      <c r="CR543" s="259"/>
      <c r="CS543" s="259"/>
      <c r="CT543" s="259"/>
      <c r="CU543" s="259"/>
      <c r="CV543" s="259"/>
      <c r="CW543" s="259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259"/>
      <c r="BP544" s="259"/>
      <c r="BQ544" s="259"/>
      <c r="BR544" s="259"/>
      <c r="BS544" s="259"/>
      <c r="BT544" s="259"/>
      <c r="BU544" s="259"/>
      <c r="BV544" s="259"/>
      <c r="BW544" s="259"/>
      <c r="BX544" s="259"/>
      <c r="BY544" s="259"/>
      <c r="BZ544" s="260"/>
      <c r="CA544" s="259"/>
      <c r="CB544" s="259"/>
      <c r="CC544" s="259"/>
      <c r="CD544" s="259"/>
      <c r="CE544" s="259"/>
      <c r="CF544" s="259"/>
      <c r="CG544" s="259"/>
      <c r="CH544" s="259"/>
      <c r="CI544" s="259"/>
      <c r="CJ544" s="259"/>
      <c r="CK544" s="259"/>
      <c r="CL544" s="259"/>
      <c r="CM544" s="259"/>
      <c r="CN544" s="259"/>
      <c r="CO544" s="259"/>
      <c r="CP544" s="259"/>
      <c r="CQ544" s="259"/>
      <c r="CR544" s="259"/>
      <c r="CS544" s="259"/>
      <c r="CT544" s="259"/>
      <c r="CU544" s="259"/>
      <c r="CV544" s="259"/>
      <c r="CW544" s="259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259"/>
      <c r="BP545" s="259"/>
      <c r="BQ545" s="259"/>
      <c r="BR545" s="259"/>
      <c r="BS545" s="259"/>
      <c r="BT545" s="259"/>
      <c r="BU545" s="259"/>
      <c r="BV545" s="259"/>
      <c r="BW545" s="259"/>
      <c r="BX545" s="259"/>
      <c r="BY545" s="259"/>
      <c r="BZ545" s="260"/>
      <c r="CA545" s="259"/>
      <c r="CB545" s="259"/>
      <c r="CC545" s="259"/>
      <c r="CD545" s="259"/>
      <c r="CE545" s="259"/>
      <c r="CF545" s="259"/>
      <c r="CG545" s="259"/>
      <c r="CH545" s="259"/>
      <c r="CI545" s="259"/>
      <c r="CJ545" s="259"/>
      <c r="CK545" s="259"/>
      <c r="CL545" s="259"/>
      <c r="CM545" s="259"/>
      <c r="CN545" s="259"/>
      <c r="CO545" s="259"/>
      <c r="CP545" s="259"/>
      <c r="CQ545" s="259"/>
      <c r="CR545" s="259"/>
      <c r="CS545" s="259"/>
      <c r="CT545" s="259"/>
      <c r="CU545" s="259"/>
      <c r="CV545" s="259"/>
      <c r="CW545" s="259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259"/>
      <c r="BP546" s="259"/>
      <c r="BQ546" s="259"/>
      <c r="BR546" s="259"/>
      <c r="BS546" s="259"/>
      <c r="BT546" s="259"/>
      <c r="BU546" s="259"/>
      <c r="BV546" s="259"/>
      <c r="BW546" s="259"/>
      <c r="BX546" s="259"/>
      <c r="BY546" s="259"/>
      <c r="BZ546" s="260"/>
      <c r="CA546" s="259"/>
      <c r="CB546" s="259"/>
      <c r="CC546" s="259"/>
      <c r="CD546" s="259"/>
      <c r="CE546" s="259"/>
      <c r="CF546" s="259"/>
      <c r="CG546" s="259"/>
      <c r="CH546" s="259"/>
      <c r="CI546" s="259"/>
      <c r="CJ546" s="259"/>
      <c r="CK546" s="259"/>
      <c r="CL546" s="259"/>
      <c r="CM546" s="259"/>
      <c r="CN546" s="259"/>
      <c r="CO546" s="259"/>
      <c r="CP546" s="259"/>
      <c r="CQ546" s="259"/>
      <c r="CR546" s="259"/>
      <c r="CS546" s="259"/>
      <c r="CT546" s="259"/>
      <c r="CU546" s="259"/>
      <c r="CV546" s="259"/>
      <c r="CW546" s="259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259"/>
      <c r="BP547" s="259"/>
      <c r="BQ547" s="259"/>
      <c r="BR547" s="259"/>
      <c r="BS547" s="259"/>
      <c r="BT547" s="259"/>
      <c r="BU547" s="259"/>
      <c r="BV547" s="259"/>
      <c r="BW547" s="259"/>
      <c r="BX547" s="259"/>
      <c r="BY547" s="259"/>
      <c r="BZ547" s="260"/>
      <c r="CA547" s="259"/>
      <c r="CB547" s="259"/>
      <c r="CC547" s="259"/>
      <c r="CD547" s="259"/>
      <c r="CE547" s="259"/>
      <c r="CF547" s="259"/>
      <c r="CG547" s="259"/>
      <c r="CH547" s="259"/>
      <c r="CI547" s="259"/>
      <c r="CJ547" s="259"/>
      <c r="CK547" s="259"/>
      <c r="CL547" s="259"/>
      <c r="CM547" s="259"/>
      <c r="CN547" s="259"/>
      <c r="CO547" s="259"/>
      <c r="CP547" s="259"/>
      <c r="CQ547" s="259"/>
      <c r="CR547" s="259"/>
      <c r="CS547" s="259"/>
      <c r="CT547" s="259"/>
      <c r="CU547" s="259"/>
      <c r="CV547" s="259"/>
      <c r="CW547" s="259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259"/>
      <c r="BP548" s="259"/>
      <c r="BQ548" s="259"/>
      <c r="BR548" s="259"/>
      <c r="BS548" s="259"/>
      <c r="BT548" s="259"/>
      <c r="BU548" s="259"/>
      <c r="BV548" s="259"/>
      <c r="BW548" s="259"/>
      <c r="BX548" s="259"/>
      <c r="BY548" s="259"/>
      <c r="BZ548" s="260"/>
      <c r="CA548" s="259"/>
      <c r="CB548" s="259"/>
      <c r="CC548" s="259"/>
      <c r="CD548" s="259"/>
      <c r="CE548" s="259"/>
      <c r="CF548" s="259"/>
      <c r="CG548" s="259"/>
      <c r="CH548" s="259"/>
      <c r="CI548" s="259"/>
      <c r="CJ548" s="259"/>
      <c r="CK548" s="259"/>
      <c r="CL548" s="259"/>
      <c r="CM548" s="259"/>
      <c r="CN548" s="259"/>
      <c r="CO548" s="259"/>
      <c r="CP548" s="259"/>
      <c r="CQ548" s="259"/>
      <c r="CR548" s="259"/>
      <c r="CS548" s="259"/>
      <c r="CT548" s="259"/>
      <c r="CU548" s="259"/>
      <c r="CV548" s="259"/>
      <c r="CW548" s="259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30"/>
      <c r="BL549" s="30"/>
      <c r="BM549" s="30"/>
      <c r="BN549" s="30"/>
      <c r="BO549" s="259"/>
      <c r="BP549" s="259"/>
      <c r="BQ549" s="259"/>
      <c r="BR549" s="259"/>
      <c r="BS549" s="259"/>
      <c r="BT549" s="259"/>
      <c r="BU549" s="259"/>
      <c r="BV549" s="259"/>
      <c r="BW549" s="259"/>
      <c r="BX549" s="259"/>
      <c r="BY549" s="259"/>
      <c r="BZ549" s="260"/>
      <c r="CA549" s="259"/>
      <c r="CB549" s="259"/>
      <c r="CC549" s="259"/>
      <c r="CD549" s="259"/>
      <c r="CE549" s="259"/>
      <c r="CF549" s="259"/>
      <c r="CG549" s="259"/>
      <c r="CH549" s="259"/>
      <c r="CI549" s="259"/>
      <c r="CJ549" s="259"/>
      <c r="CK549" s="259"/>
      <c r="CL549" s="259"/>
      <c r="CM549" s="259"/>
      <c r="CN549" s="259"/>
      <c r="CO549" s="259"/>
      <c r="CP549" s="259"/>
      <c r="CQ549" s="259"/>
      <c r="CR549" s="259"/>
      <c r="CS549" s="259"/>
      <c r="CT549" s="259"/>
      <c r="CU549" s="259"/>
      <c r="CV549" s="259"/>
      <c r="CW549" s="259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259"/>
      <c r="BP550" s="259"/>
      <c r="BQ550" s="259"/>
      <c r="BR550" s="259"/>
      <c r="BS550" s="259"/>
      <c r="BT550" s="259"/>
      <c r="BU550" s="259"/>
      <c r="BV550" s="259"/>
      <c r="BW550" s="259"/>
      <c r="BX550" s="259"/>
      <c r="BY550" s="259"/>
      <c r="BZ550" s="260"/>
      <c r="CA550" s="259"/>
      <c r="CB550" s="259"/>
      <c r="CC550" s="259"/>
      <c r="CD550" s="259"/>
      <c r="CE550" s="259"/>
      <c r="CF550" s="259"/>
      <c r="CG550" s="259"/>
      <c r="CH550" s="259"/>
      <c r="CI550" s="259"/>
      <c r="CJ550" s="259"/>
      <c r="CK550" s="259"/>
      <c r="CL550" s="259"/>
      <c r="CM550" s="259"/>
      <c r="CN550" s="259"/>
      <c r="CO550" s="259"/>
      <c r="CP550" s="259"/>
      <c r="CQ550" s="259"/>
      <c r="CR550" s="259"/>
      <c r="CS550" s="259"/>
      <c r="CT550" s="259"/>
      <c r="CU550" s="259"/>
      <c r="CV550" s="259"/>
      <c r="CW550" s="259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259"/>
      <c r="BP551" s="259"/>
      <c r="BQ551" s="259"/>
      <c r="BR551" s="259"/>
      <c r="BS551" s="259"/>
      <c r="BT551" s="259"/>
      <c r="BU551" s="259"/>
      <c r="BV551" s="259"/>
      <c r="BW551" s="259"/>
      <c r="BX551" s="259"/>
      <c r="BY551" s="259"/>
      <c r="BZ551" s="260"/>
      <c r="CA551" s="259"/>
      <c r="CB551" s="259"/>
      <c r="CC551" s="259"/>
      <c r="CD551" s="259"/>
      <c r="CE551" s="259"/>
      <c r="CF551" s="259"/>
      <c r="CG551" s="259"/>
      <c r="CH551" s="259"/>
      <c r="CI551" s="259"/>
      <c r="CJ551" s="259"/>
      <c r="CK551" s="259"/>
      <c r="CL551" s="259"/>
      <c r="CM551" s="259"/>
      <c r="CN551" s="259"/>
      <c r="CO551" s="259"/>
      <c r="CP551" s="259"/>
      <c r="CQ551" s="259"/>
      <c r="CR551" s="259"/>
      <c r="CS551" s="259"/>
      <c r="CT551" s="259"/>
      <c r="CU551" s="259"/>
      <c r="CV551" s="259"/>
      <c r="CW551" s="259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259"/>
      <c r="BP552" s="259"/>
      <c r="BQ552" s="259"/>
      <c r="BR552" s="259"/>
      <c r="BS552" s="259"/>
      <c r="BT552" s="259"/>
      <c r="BU552" s="259"/>
      <c r="BV552" s="259"/>
      <c r="BW552" s="259"/>
      <c r="BX552" s="259"/>
      <c r="BY552" s="259"/>
      <c r="BZ552" s="260"/>
      <c r="CA552" s="259"/>
      <c r="CB552" s="259"/>
      <c r="CC552" s="259"/>
      <c r="CD552" s="259"/>
      <c r="CE552" s="259"/>
      <c r="CF552" s="259"/>
      <c r="CG552" s="259"/>
      <c r="CH552" s="259"/>
      <c r="CI552" s="259"/>
      <c r="CJ552" s="259"/>
      <c r="CK552" s="259"/>
      <c r="CL552" s="259"/>
      <c r="CM552" s="259"/>
      <c r="CN552" s="259"/>
      <c r="CO552" s="259"/>
      <c r="CP552" s="259"/>
      <c r="CQ552" s="259"/>
      <c r="CR552" s="259"/>
      <c r="CS552" s="259"/>
      <c r="CT552" s="259"/>
      <c r="CU552" s="259"/>
      <c r="CV552" s="259"/>
      <c r="CW552" s="259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259"/>
      <c r="BP553" s="259"/>
      <c r="BQ553" s="259"/>
      <c r="BR553" s="259"/>
      <c r="BS553" s="259"/>
      <c r="BT553" s="259"/>
      <c r="BU553" s="259"/>
      <c r="BV553" s="259"/>
      <c r="BW553" s="259"/>
      <c r="BX553" s="259"/>
      <c r="BY553" s="259"/>
      <c r="BZ553" s="260"/>
      <c r="CA553" s="259"/>
      <c r="CB553" s="259"/>
      <c r="CC553" s="259"/>
      <c r="CD553" s="259"/>
      <c r="CE553" s="259"/>
      <c r="CF553" s="259"/>
      <c r="CG553" s="259"/>
      <c r="CH553" s="259"/>
      <c r="CI553" s="259"/>
      <c r="CJ553" s="259"/>
      <c r="CK553" s="259"/>
      <c r="CL553" s="259"/>
      <c r="CM553" s="259"/>
      <c r="CN553" s="259"/>
      <c r="CO553" s="259"/>
      <c r="CP553" s="259"/>
      <c r="CQ553" s="259"/>
      <c r="CR553" s="259"/>
      <c r="CS553" s="259"/>
      <c r="CT553" s="259"/>
      <c r="CU553" s="259"/>
      <c r="CV553" s="259"/>
      <c r="CW553" s="259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259"/>
      <c r="BP554" s="259"/>
      <c r="BQ554" s="259"/>
      <c r="BR554" s="259"/>
      <c r="BS554" s="259"/>
      <c r="BT554" s="259"/>
      <c r="BU554" s="259"/>
      <c r="BV554" s="259"/>
      <c r="BW554" s="259"/>
      <c r="BX554" s="259"/>
      <c r="BY554" s="259"/>
      <c r="BZ554" s="260"/>
      <c r="CA554" s="259"/>
      <c r="CB554" s="259"/>
      <c r="CC554" s="259"/>
      <c r="CD554" s="259"/>
      <c r="CE554" s="259"/>
      <c r="CF554" s="259"/>
      <c r="CG554" s="259"/>
      <c r="CH554" s="259"/>
      <c r="CI554" s="259"/>
      <c r="CJ554" s="259"/>
      <c r="CK554" s="259"/>
      <c r="CL554" s="259"/>
      <c r="CM554" s="259"/>
      <c r="CN554" s="259"/>
      <c r="CO554" s="259"/>
      <c r="CP554" s="259"/>
      <c r="CQ554" s="259"/>
      <c r="CR554" s="259"/>
      <c r="CS554" s="259"/>
      <c r="CT554" s="259"/>
      <c r="CU554" s="259"/>
      <c r="CV554" s="259"/>
      <c r="CW554" s="259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259"/>
      <c r="BP555" s="259"/>
      <c r="BQ555" s="259"/>
      <c r="BR555" s="259"/>
      <c r="BS555" s="259"/>
      <c r="BT555" s="259"/>
      <c r="BU555" s="259"/>
      <c r="BV555" s="259"/>
      <c r="BW555" s="259"/>
      <c r="BX555" s="259"/>
      <c r="BY555" s="259"/>
      <c r="BZ555" s="260"/>
      <c r="CA555" s="259"/>
      <c r="CB555" s="259"/>
      <c r="CC555" s="259"/>
      <c r="CD555" s="259"/>
      <c r="CE555" s="259"/>
      <c r="CF555" s="259"/>
      <c r="CG555" s="259"/>
      <c r="CH555" s="259"/>
      <c r="CI555" s="259"/>
      <c r="CJ555" s="259"/>
      <c r="CK555" s="259"/>
      <c r="CL555" s="259"/>
      <c r="CM555" s="259"/>
      <c r="CN555" s="259"/>
      <c r="CO555" s="259"/>
      <c r="CP555" s="259"/>
      <c r="CQ555" s="259"/>
      <c r="CR555" s="259"/>
      <c r="CS555" s="259"/>
      <c r="CT555" s="259"/>
      <c r="CU555" s="259"/>
      <c r="CV555" s="259"/>
      <c r="CW555" s="259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30"/>
      <c r="BL556" s="30"/>
      <c r="BM556" s="30"/>
      <c r="BN556" s="30"/>
      <c r="BO556" s="259"/>
      <c r="BP556" s="259"/>
      <c r="BQ556" s="259"/>
      <c r="BR556" s="259"/>
      <c r="BS556" s="259"/>
      <c r="BT556" s="259"/>
      <c r="BU556" s="259"/>
      <c r="BV556" s="259"/>
      <c r="BW556" s="259"/>
      <c r="BX556" s="259"/>
      <c r="BY556" s="259"/>
      <c r="BZ556" s="260"/>
      <c r="CA556" s="259"/>
      <c r="CB556" s="259"/>
      <c r="CC556" s="259"/>
      <c r="CD556" s="259"/>
      <c r="CE556" s="259"/>
      <c r="CF556" s="259"/>
      <c r="CG556" s="259"/>
      <c r="CH556" s="259"/>
      <c r="CI556" s="259"/>
      <c r="CJ556" s="259"/>
      <c r="CK556" s="259"/>
      <c r="CL556" s="259"/>
      <c r="CM556" s="259"/>
      <c r="CN556" s="259"/>
      <c r="CO556" s="259"/>
      <c r="CP556" s="259"/>
      <c r="CQ556" s="259"/>
      <c r="CR556" s="259"/>
      <c r="CS556" s="259"/>
      <c r="CT556" s="259"/>
      <c r="CU556" s="259"/>
      <c r="CV556" s="259"/>
      <c r="CW556" s="259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259"/>
      <c r="BP557" s="259"/>
      <c r="BQ557" s="259"/>
      <c r="BR557" s="259"/>
      <c r="BS557" s="259"/>
      <c r="BT557" s="259"/>
      <c r="BU557" s="259"/>
      <c r="BV557" s="259"/>
      <c r="BW557" s="259"/>
      <c r="BX557" s="259"/>
      <c r="BY557" s="259"/>
      <c r="BZ557" s="260"/>
      <c r="CA557" s="259"/>
      <c r="CB557" s="259"/>
      <c r="CC557" s="259"/>
      <c r="CD557" s="259"/>
      <c r="CE557" s="259"/>
      <c r="CF557" s="259"/>
      <c r="CG557" s="259"/>
      <c r="CH557" s="259"/>
      <c r="CI557" s="259"/>
      <c r="CJ557" s="259"/>
      <c r="CK557" s="259"/>
      <c r="CL557" s="259"/>
      <c r="CM557" s="259"/>
      <c r="CN557" s="259"/>
      <c r="CO557" s="259"/>
      <c r="CP557" s="259"/>
      <c r="CQ557" s="259"/>
      <c r="CR557" s="259"/>
      <c r="CS557" s="259"/>
      <c r="CT557" s="259"/>
      <c r="CU557" s="259"/>
      <c r="CV557" s="259"/>
      <c r="CW557" s="259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259"/>
      <c r="BP558" s="259"/>
      <c r="BQ558" s="259"/>
      <c r="BR558" s="259"/>
      <c r="BS558" s="259"/>
      <c r="BT558" s="259"/>
      <c r="BU558" s="259"/>
      <c r="BV558" s="259"/>
      <c r="BW558" s="259"/>
      <c r="BX558" s="259"/>
      <c r="BY558" s="259"/>
      <c r="BZ558" s="260"/>
      <c r="CA558" s="259"/>
      <c r="CB558" s="259"/>
      <c r="CC558" s="259"/>
      <c r="CD558" s="259"/>
      <c r="CE558" s="259"/>
      <c r="CF558" s="259"/>
      <c r="CG558" s="259"/>
      <c r="CH558" s="259"/>
      <c r="CI558" s="259"/>
      <c r="CJ558" s="259"/>
      <c r="CK558" s="259"/>
      <c r="CL558" s="259"/>
      <c r="CM558" s="259"/>
      <c r="CN558" s="259"/>
      <c r="CO558" s="259"/>
      <c r="CP558" s="259"/>
      <c r="CQ558" s="259"/>
      <c r="CR558" s="259"/>
      <c r="CS558" s="259"/>
      <c r="CT558" s="259"/>
      <c r="CU558" s="259"/>
      <c r="CV558" s="259"/>
      <c r="CW558" s="259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259"/>
      <c r="BP559" s="259"/>
      <c r="BQ559" s="259"/>
      <c r="BR559" s="259"/>
      <c r="BS559" s="259"/>
      <c r="BT559" s="259"/>
      <c r="BU559" s="259"/>
      <c r="BV559" s="259"/>
      <c r="BW559" s="259"/>
      <c r="BX559" s="259"/>
      <c r="BY559" s="259"/>
      <c r="BZ559" s="260"/>
      <c r="CA559" s="259"/>
      <c r="CB559" s="259"/>
      <c r="CC559" s="259"/>
      <c r="CD559" s="259"/>
      <c r="CE559" s="259"/>
      <c r="CF559" s="259"/>
      <c r="CG559" s="259"/>
      <c r="CH559" s="259"/>
      <c r="CI559" s="259"/>
      <c r="CJ559" s="259"/>
      <c r="CK559" s="259"/>
      <c r="CL559" s="259"/>
      <c r="CM559" s="259"/>
      <c r="CN559" s="259"/>
      <c r="CO559" s="259"/>
      <c r="CP559" s="259"/>
      <c r="CQ559" s="259"/>
      <c r="CR559" s="259"/>
      <c r="CS559" s="259"/>
      <c r="CT559" s="259"/>
      <c r="CU559" s="259"/>
      <c r="CV559" s="259"/>
      <c r="CW559" s="259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259"/>
      <c r="BP560" s="259"/>
      <c r="BQ560" s="259"/>
      <c r="BR560" s="259"/>
      <c r="BS560" s="259"/>
      <c r="BT560" s="259"/>
      <c r="BU560" s="259"/>
      <c r="BV560" s="259"/>
      <c r="BW560" s="259"/>
      <c r="BX560" s="259"/>
      <c r="BY560" s="259"/>
      <c r="BZ560" s="260"/>
      <c r="CA560" s="259"/>
      <c r="CB560" s="259"/>
      <c r="CC560" s="259"/>
      <c r="CD560" s="259"/>
      <c r="CE560" s="259"/>
      <c r="CF560" s="259"/>
      <c r="CG560" s="259"/>
      <c r="CH560" s="259"/>
      <c r="CI560" s="259"/>
      <c r="CJ560" s="259"/>
      <c r="CK560" s="259"/>
      <c r="CL560" s="259"/>
      <c r="CM560" s="259"/>
      <c r="CN560" s="259"/>
      <c r="CO560" s="259"/>
      <c r="CP560" s="259"/>
      <c r="CQ560" s="259"/>
      <c r="CR560" s="259"/>
      <c r="CS560" s="259"/>
      <c r="CT560" s="259"/>
      <c r="CU560" s="259"/>
      <c r="CV560" s="259"/>
      <c r="CW560" s="259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259"/>
      <c r="BP561" s="259"/>
      <c r="BQ561" s="259"/>
      <c r="BR561" s="259"/>
      <c r="BS561" s="259"/>
      <c r="BT561" s="259"/>
      <c r="BU561" s="259"/>
      <c r="BV561" s="259"/>
      <c r="BW561" s="259"/>
      <c r="BX561" s="259"/>
      <c r="BY561" s="259"/>
      <c r="BZ561" s="260"/>
      <c r="CA561" s="259"/>
      <c r="CB561" s="259"/>
      <c r="CC561" s="259"/>
      <c r="CD561" s="259"/>
      <c r="CE561" s="259"/>
      <c r="CF561" s="259"/>
      <c r="CG561" s="259"/>
      <c r="CH561" s="259"/>
      <c r="CI561" s="259"/>
      <c r="CJ561" s="259"/>
      <c r="CK561" s="259"/>
      <c r="CL561" s="259"/>
      <c r="CM561" s="259"/>
      <c r="CN561" s="259"/>
      <c r="CO561" s="259"/>
      <c r="CP561" s="259"/>
      <c r="CQ561" s="259"/>
      <c r="CR561" s="259"/>
      <c r="CS561" s="259"/>
      <c r="CT561" s="259"/>
      <c r="CU561" s="259"/>
      <c r="CV561" s="259"/>
      <c r="CW561" s="259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259"/>
      <c r="BP562" s="259"/>
      <c r="BQ562" s="259"/>
      <c r="BR562" s="259"/>
      <c r="BS562" s="259"/>
      <c r="BT562" s="259"/>
      <c r="BU562" s="259"/>
      <c r="BV562" s="259"/>
      <c r="BW562" s="259"/>
      <c r="BX562" s="259"/>
      <c r="BY562" s="259"/>
      <c r="BZ562" s="260"/>
      <c r="CA562" s="259"/>
      <c r="CB562" s="259"/>
      <c r="CC562" s="259"/>
      <c r="CD562" s="259"/>
      <c r="CE562" s="259"/>
      <c r="CF562" s="259"/>
      <c r="CG562" s="259"/>
      <c r="CH562" s="259"/>
      <c r="CI562" s="259"/>
      <c r="CJ562" s="259"/>
      <c r="CK562" s="259"/>
      <c r="CL562" s="259"/>
      <c r="CM562" s="259"/>
      <c r="CN562" s="259"/>
      <c r="CO562" s="259"/>
      <c r="CP562" s="259"/>
      <c r="CQ562" s="259"/>
      <c r="CR562" s="259"/>
      <c r="CS562" s="259"/>
      <c r="CT562" s="259"/>
      <c r="CU562" s="259"/>
      <c r="CV562" s="259"/>
      <c r="CW562" s="259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259"/>
      <c r="BP563" s="259"/>
      <c r="BQ563" s="259"/>
      <c r="BR563" s="259"/>
      <c r="BS563" s="259"/>
      <c r="BT563" s="259"/>
      <c r="BU563" s="259"/>
      <c r="BV563" s="259"/>
      <c r="BW563" s="259"/>
      <c r="BX563" s="259"/>
      <c r="BY563" s="259"/>
      <c r="BZ563" s="260"/>
      <c r="CA563" s="259"/>
      <c r="CB563" s="259"/>
      <c r="CC563" s="259"/>
      <c r="CD563" s="259"/>
      <c r="CE563" s="259"/>
      <c r="CF563" s="259"/>
      <c r="CG563" s="259"/>
      <c r="CH563" s="259"/>
      <c r="CI563" s="259"/>
      <c r="CJ563" s="259"/>
      <c r="CK563" s="259"/>
      <c r="CL563" s="259"/>
      <c r="CM563" s="259"/>
      <c r="CN563" s="259"/>
      <c r="CO563" s="259"/>
      <c r="CP563" s="259"/>
      <c r="CQ563" s="259"/>
      <c r="CR563" s="259"/>
      <c r="CS563" s="259"/>
      <c r="CT563" s="259"/>
      <c r="CU563" s="259"/>
      <c r="CV563" s="259"/>
      <c r="CW563" s="259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259"/>
      <c r="BP564" s="259"/>
      <c r="BQ564" s="259"/>
      <c r="BR564" s="259"/>
      <c r="BS564" s="259"/>
      <c r="BT564" s="259"/>
      <c r="BU564" s="259"/>
      <c r="BV564" s="259"/>
      <c r="BW564" s="259"/>
      <c r="BX564" s="259"/>
      <c r="BY564" s="259"/>
      <c r="BZ564" s="260"/>
      <c r="CA564" s="259"/>
      <c r="CB564" s="259"/>
      <c r="CC564" s="259"/>
      <c r="CD564" s="259"/>
      <c r="CE564" s="259"/>
      <c r="CF564" s="259"/>
      <c r="CG564" s="259"/>
      <c r="CH564" s="259"/>
      <c r="CI564" s="259"/>
      <c r="CJ564" s="259"/>
      <c r="CK564" s="259"/>
      <c r="CL564" s="259"/>
      <c r="CM564" s="259"/>
      <c r="CN564" s="259"/>
      <c r="CO564" s="259"/>
      <c r="CP564" s="259"/>
      <c r="CQ564" s="259"/>
      <c r="CR564" s="259"/>
      <c r="CS564" s="259"/>
      <c r="CT564" s="259"/>
      <c r="CU564" s="259"/>
      <c r="CV564" s="259"/>
      <c r="CW564" s="259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259"/>
      <c r="BP565" s="259"/>
      <c r="BQ565" s="259"/>
      <c r="BR565" s="259"/>
      <c r="BS565" s="259"/>
      <c r="BT565" s="259"/>
      <c r="BU565" s="259"/>
      <c r="BV565" s="259"/>
      <c r="BW565" s="259"/>
      <c r="BX565" s="259"/>
      <c r="BY565" s="259"/>
      <c r="BZ565" s="260"/>
      <c r="CA565" s="259"/>
      <c r="CB565" s="259"/>
      <c r="CC565" s="259"/>
      <c r="CD565" s="259"/>
      <c r="CE565" s="259"/>
      <c r="CF565" s="259"/>
      <c r="CG565" s="259"/>
      <c r="CH565" s="259"/>
      <c r="CI565" s="259"/>
      <c r="CJ565" s="259"/>
      <c r="CK565" s="259"/>
      <c r="CL565" s="259"/>
      <c r="CM565" s="259"/>
      <c r="CN565" s="259"/>
      <c r="CO565" s="259"/>
      <c r="CP565" s="259"/>
      <c r="CQ565" s="259"/>
      <c r="CR565" s="259"/>
      <c r="CS565" s="259"/>
      <c r="CT565" s="259"/>
      <c r="CU565" s="259"/>
      <c r="CV565" s="259"/>
      <c r="CW565" s="259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259"/>
      <c r="BP566" s="259"/>
      <c r="BQ566" s="259"/>
      <c r="BR566" s="259"/>
      <c r="BS566" s="259"/>
      <c r="BT566" s="259"/>
      <c r="BU566" s="259"/>
      <c r="BV566" s="259"/>
      <c r="BW566" s="259"/>
      <c r="BX566" s="259"/>
      <c r="BY566" s="259"/>
      <c r="BZ566" s="260"/>
      <c r="CA566" s="259"/>
      <c r="CB566" s="259"/>
      <c r="CC566" s="259"/>
      <c r="CD566" s="259"/>
      <c r="CE566" s="259"/>
      <c r="CF566" s="259"/>
      <c r="CG566" s="259"/>
      <c r="CH566" s="259"/>
      <c r="CI566" s="259"/>
      <c r="CJ566" s="259"/>
      <c r="CK566" s="259"/>
      <c r="CL566" s="259"/>
      <c r="CM566" s="259"/>
      <c r="CN566" s="259"/>
      <c r="CO566" s="259"/>
      <c r="CP566" s="259"/>
      <c r="CQ566" s="259"/>
      <c r="CR566" s="259"/>
      <c r="CS566" s="259"/>
      <c r="CT566" s="259"/>
      <c r="CU566" s="259"/>
      <c r="CV566" s="259"/>
      <c r="CW566" s="259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259"/>
      <c r="BP567" s="259"/>
      <c r="BQ567" s="259"/>
      <c r="BR567" s="259"/>
      <c r="BS567" s="259"/>
      <c r="BT567" s="259"/>
      <c r="BU567" s="259"/>
      <c r="BV567" s="259"/>
      <c r="BW567" s="259"/>
      <c r="BX567" s="259"/>
      <c r="BY567" s="259"/>
      <c r="BZ567" s="260"/>
      <c r="CA567" s="259"/>
      <c r="CB567" s="259"/>
      <c r="CC567" s="259"/>
      <c r="CD567" s="259"/>
      <c r="CE567" s="259"/>
      <c r="CF567" s="259"/>
      <c r="CG567" s="259"/>
      <c r="CH567" s="259"/>
      <c r="CI567" s="259"/>
      <c r="CJ567" s="259"/>
      <c r="CK567" s="259"/>
      <c r="CL567" s="259"/>
      <c r="CM567" s="259"/>
      <c r="CN567" s="259"/>
      <c r="CO567" s="259"/>
      <c r="CP567" s="259"/>
      <c r="CQ567" s="259"/>
      <c r="CR567" s="259"/>
      <c r="CS567" s="259"/>
      <c r="CT567" s="259"/>
      <c r="CU567" s="259"/>
      <c r="CV567" s="259"/>
      <c r="CW567" s="259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259"/>
      <c r="BP568" s="259"/>
      <c r="BQ568" s="259"/>
      <c r="BR568" s="259"/>
      <c r="BS568" s="259"/>
      <c r="BT568" s="259"/>
      <c r="BU568" s="259"/>
      <c r="BV568" s="259"/>
      <c r="BW568" s="259"/>
      <c r="BX568" s="259"/>
      <c r="BY568" s="259"/>
      <c r="BZ568" s="260"/>
      <c r="CA568" s="259"/>
      <c r="CB568" s="259"/>
      <c r="CC568" s="259"/>
      <c r="CD568" s="259"/>
      <c r="CE568" s="259"/>
      <c r="CF568" s="259"/>
      <c r="CG568" s="259"/>
      <c r="CH568" s="259"/>
      <c r="CI568" s="259"/>
      <c r="CJ568" s="259"/>
      <c r="CK568" s="259"/>
      <c r="CL568" s="259"/>
      <c r="CM568" s="259"/>
      <c r="CN568" s="259"/>
      <c r="CO568" s="259"/>
      <c r="CP568" s="259"/>
      <c r="CQ568" s="259"/>
      <c r="CR568" s="259"/>
      <c r="CS568" s="259"/>
      <c r="CT568" s="259"/>
      <c r="CU568" s="259"/>
      <c r="CV568" s="259"/>
      <c r="CW568" s="259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259"/>
      <c r="BP569" s="259"/>
      <c r="BQ569" s="259"/>
      <c r="BR569" s="259"/>
      <c r="BS569" s="259"/>
      <c r="BT569" s="259"/>
      <c r="BU569" s="259"/>
      <c r="BV569" s="259"/>
      <c r="BW569" s="259"/>
      <c r="BX569" s="259"/>
      <c r="BY569" s="259"/>
      <c r="BZ569" s="260"/>
      <c r="CA569" s="259"/>
      <c r="CB569" s="259"/>
      <c r="CC569" s="259"/>
      <c r="CD569" s="259"/>
      <c r="CE569" s="259"/>
      <c r="CF569" s="259"/>
      <c r="CG569" s="259"/>
      <c r="CH569" s="259"/>
      <c r="CI569" s="259"/>
      <c r="CJ569" s="259"/>
      <c r="CK569" s="259"/>
      <c r="CL569" s="259"/>
      <c r="CM569" s="259"/>
      <c r="CN569" s="259"/>
      <c r="CO569" s="259"/>
      <c r="CP569" s="259"/>
      <c r="CQ569" s="259"/>
      <c r="CR569" s="259"/>
      <c r="CS569" s="259"/>
      <c r="CT569" s="259"/>
      <c r="CU569" s="259"/>
      <c r="CV569" s="259"/>
      <c r="CW569" s="259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  <c r="BN570" s="30"/>
      <c r="BO570" s="259"/>
      <c r="BP570" s="259"/>
      <c r="BQ570" s="259"/>
      <c r="BR570" s="259"/>
      <c r="BS570" s="259"/>
      <c r="BT570" s="259"/>
      <c r="BU570" s="259"/>
      <c r="BV570" s="259"/>
      <c r="BW570" s="259"/>
      <c r="BX570" s="259"/>
      <c r="BY570" s="259"/>
      <c r="BZ570" s="260"/>
      <c r="CA570" s="259"/>
      <c r="CB570" s="259"/>
      <c r="CC570" s="259"/>
      <c r="CD570" s="259"/>
      <c r="CE570" s="259"/>
      <c r="CF570" s="259"/>
      <c r="CG570" s="259"/>
      <c r="CH570" s="259"/>
      <c r="CI570" s="259"/>
      <c r="CJ570" s="259"/>
      <c r="CK570" s="259"/>
      <c r="CL570" s="259"/>
      <c r="CM570" s="259"/>
      <c r="CN570" s="259"/>
      <c r="CO570" s="259"/>
      <c r="CP570" s="259"/>
      <c r="CQ570" s="259"/>
      <c r="CR570" s="259"/>
      <c r="CS570" s="259"/>
      <c r="CT570" s="259"/>
      <c r="CU570" s="259"/>
      <c r="CV570" s="259"/>
      <c r="CW570" s="259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259"/>
      <c r="BP571" s="259"/>
      <c r="BQ571" s="259"/>
      <c r="BR571" s="259"/>
      <c r="BS571" s="259"/>
      <c r="BT571" s="259"/>
      <c r="BU571" s="259"/>
      <c r="BV571" s="259"/>
      <c r="BW571" s="259"/>
      <c r="BX571" s="259"/>
      <c r="BY571" s="259"/>
      <c r="BZ571" s="260"/>
      <c r="CA571" s="259"/>
      <c r="CB571" s="259"/>
      <c r="CC571" s="259"/>
      <c r="CD571" s="259"/>
      <c r="CE571" s="259"/>
      <c r="CF571" s="259"/>
      <c r="CG571" s="259"/>
      <c r="CH571" s="259"/>
      <c r="CI571" s="259"/>
      <c r="CJ571" s="259"/>
      <c r="CK571" s="259"/>
      <c r="CL571" s="259"/>
      <c r="CM571" s="259"/>
      <c r="CN571" s="259"/>
      <c r="CO571" s="259"/>
      <c r="CP571" s="259"/>
      <c r="CQ571" s="259"/>
      <c r="CR571" s="259"/>
      <c r="CS571" s="259"/>
      <c r="CT571" s="259"/>
      <c r="CU571" s="259"/>
      <c r="CV571" s="259"/>
      <c r="CW571" s="259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259"/>
      <c r="BP572" s="259"/>
      <c r="BQ572" s="259"/>
      <c r="BR572" s="259"/>
      <c r="BS572" s="259"/>
      <c r="BT572" s="259"/>
      <c r="BU572" s="259"/>
      <c r="BV572" s="259"/>
      <c r="BW572" s="259"/>
      <c r="BX572" s="259"/>
      <c r="BY572" s="259"/>
      <c r="BZ572" s="260"/>
      <c r="CA572" s="259"/>
      <c r="CB572" s="259"/>
      <c r="CC572" s="259"/>
      <c r="CD572" s="259"/>
      <c r="CE572" s="259"/>
      <c r="CF572" s="259"/>
      <c r="CG572" s="259"/>
      <c r="CH572" s="259"/>
      <c r="CI572" s="259"/>
      <c r="CJ572" s="259"/>
      <c r="CK572" s="259"/>
      <c r="CL572" s="259"/>
      <c r="CM572" s="259"/>
      <c r="CN572" s="259"/>
      <c r="CO572" s="259"/>
      <c r="CP572" s="259"/>
      <c r="CQ572" s="259"/>
      <c r="CR572" s="259"/>
      <c r="CS572" s="259"/>
      <c r="CT572" s="259"/>
      <c r="CU572" s="259"/>
      <c r="CV572" s="259"/>
      <c r="CW572" s="259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259"/>
      <c r="BP573" s="259"/>
      <c r="BQ573" s="259"/>
      <c r="BR573" s="259"/>
      <c r="BS573" s="259"/>
      <c r="BT573" s="259"/>
      <c r="BU573" s="259"/>
      <c r="BV573" s="259"/>
      <c r="BW573" s="259"/>
      <c r="BX573" s="259"/>
      <c r="BY573" s="259"/>
      <c r="BZ573" s="260"/>
      <c r="CA573" s="259"/>
      <c r="CB573" s="259"/>
      <c r="CC573" s="259"/>
      <c r="CD573" s="259"/>
      <c r="CE573" s="259"/>
      <c r="CF573" s="259"/>
      <c r="CG573" s="259"/>
      <c r="CH573" s="259"/>
      <c r="CI573" s="259"/>
      <c r="CJ573" s="259"/>
      <c r="CK573" s="259"/>
      <c r="CL573" s="259"/>
      <c r="CM573" s="259"/>
      <c r="CN573" s="259"/>
      <c r="CO573" s="259"/>
      <c r="CP573" s="259"/>
      <c r="CQ573" s="259"/>
      <c r="CR573" s="259"/>
      <c r="CS573" s="259"/>
      <c r="CT573" s="259"/>
      <c r="CU573" s="259"/>
      <c r="CV573" s="259"/>
      <c r="CW573" s="259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  <c r="BN574" s="30"/>
      <c r="BO574" s="259"/>
      <c r="BP574" s="259"/>
      <c r="BQ574" s="259"/>
      <c r="BR574" s="259"/>
      <c r="BS574" s="259"/>
      <c r="BT574" s="259"/>
      <c r="BU574" s="259"/>
      <c r="BV574" s="259"/>
      <c r="BW574" s="259"/>
      <c r="BX574" s="259"/>
      <c r="BY574" s="259"/>
      <c r="BZ574" s="260"/>
      <c r="CA574" s="259"/>
      <c r="CB574" s="259"/>
      <c r="CC574" s="259"/>
      <c r="CD574" s="259"/>
      <c r="CE574" s="259"/>
      <c r="CF574" s="259"/>
      <c r="CG574" s="259"/>
      <c r="CH574" s="259"/>
      <c r="CI574" s="259"/>
      <c r="CJ574" s="259"/>
      <c r="CK574" s="259"/>
      <c r="CL574" s="259"/>
      <c r="CM574" s="259"/>
      <c r="CN574" s="259"/>
      <c r="CO574" s="259"/>
      <c r="CP574" s="259"/>
      <c r="CQ574" s="259"/>
      <c r="CR574" s="259"/>
      <c r="CS574" s="259"/>
      <c r="CT574" s="259"/>
      <c r="CU574" s="259"/>
      <c r="CV574" s="259"/>
      <c r="CW574" s="259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  <c r="BN575" s="30"/>
      <c r="BO575" s="259"/>
      <c r="BP575" s="259"/>
      <c r="BQ575" s="259"/>
      <c r="BR575" s="259"/>
      <c r="BS575" s="259"/>
      <c r="BT575" s="259"/>
      <c r="BU575" s="259"/>
      <c r="BV575" s="259"/>
      <c r="BW575" s="259"/>
      <c r="BX575" s="259"/>
      <c r="BY575" s="259"/>
      <c r="BZ575" s="260"/>
      <c r="CA575" s="259"/>
      <c r="CB575" s="259"/>
      <c r="CC575" s="259"/>
      <c r="CD575" s="259"/>
      <c r="CE575" s="259"/>
      <c r="CF575" s="259"/>
      <c r="CG575" s="259"/>
      <c r="CH575" s="259"/>
      <c r="CI575" s="259"/>
      <c r="CJ575" s="259"/>
      <c r="CK575" s="259"/>
      <c r="CL575" s="259"/>
      <c r="CM575" s="259"/>
      <c r="CN575" s="259"/>
      <c r="CO575" s="259"/>
      <c r="CP575" s="259"/>
      <c r="CQ575" s="259"/>
      <c r="CR575" s="259"/>
      <c r="CS575" s="259"/>
      <c r="CT575" s="259"/>
      <c r="CU575" s="259"/>
      <c r="CV575" s="259"/>
      <c r="CW575" s="259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  <c r="BN576" s="30"/>
      <c r="BO576" s="259"/>
      <c r="BP576" s="259"/>
      <c r="BQ576" s="259"/>
      <c r="BR576" s="259"/>
      <c r="BS576" s="259"/>
      <c r="BT576" s="259"/>
      <c r="BU576" s="259"/>
      <c r="BV576" s="259"/>
      <c r="BW576" s="259"/>
      <c r="BX576" s="259"/>
      <c r="BY576" s="259"/>
      <c r="BZ576" s="260"/>
      <c r="CA576" s="259"/>
      <c r="CB576" s="259"/>
      <c r="CC576" s="259"/>
      <c r="CD576" s="259"/>
      <c r="CE576" s="259"/>
      <c r="CF576" s="259"/>
      <c r="CG576" s="259"/>
      <c r="CH576" s="259"/>
      <c r="CI576" s="259"/>
      <c r="CJ576" s="259"/>
      <c r="CK576" s="259"/>
      <c r="CL576" s="259"/>
      <c r="CM576" s="259"/>
      <c r="CN576" s="259"/>
      <c r="CO576" s="259"/>
      <c r="CP576" s="259"/>
      <c r="CQ576" s="259"/>
      <c r="CR576" s="259"/>
      <c r="CS576" s="259"/>
      <c r="CT576" s="259"/>
      <c r="CU576" s="259"/>
      <c r="CV576" s="259"/>
      <c r="CW576" s="259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  <c r="BN577" s="30"/>
      <c r="BO577" s="259"/>
      <c r="BP577" s="259"/>
      <c r="BQ577" s="259"/>
      <c r="BR577" s="259"/>
      <c r="BS577" s="259"/>
      <c r="BT577" s="259"/>
      <c r="BU577" s="259"/>
      <c r="BV577" s="259"/>
      <c r="BW577" s="259"/>
      <c r="BX577" s="259"/>
      <c r="BY577" s="259"/>
      <c r="BZ577" s="260"/>
      <c r="CA577" s="259"/>
      <c r="CB577" s="259"/>
      <c r="CC577" s="259"/>
      <c r="CD577" s="259"/>
      <c r="CE577" s="259"/>
      <c r="CF577" s="259"/>
      <c r="CG577" s="259"/>
      <c r="CH577" s="259"/>
      <c r="CI577" s="259"/>
      <c r="CJ577" s="259"/>
      <c r="CK577" s="259"/>
      <c r="CL577" s="259"/>
      <c r="CM577" s="259"/>
      <c r="CN577" s="259"/>
      <c r="CO577" s="259"/>
      <c r="CP577" s="259"/>
      <c r="CQ577" s="259"/>
      <c r="CR577" s="259"/>
      <c r="CS577" s="259"/>
      <c r="CT577" s="259"/>
      <c r="CU577" s="259"/>
      <c r="CV577" s="259"/>
      <c r="CW577" s="259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259"/>
      <c r="BP578" s="259"/>
      <c r="BQ578" s="259"/>
      <c r="BR578" s="259"/>
      <c r="BS578" s="259"/>
      <c r="BT578" s="259"/>
      <c r="BU578" s="259"/>
      <c r="BV578" s="259"/>
      <c r="BW578" s="259"/>
      <c r="BX578" s="259"/>
      <c r="BY578" s="259"/>
      <c r="BZ578" s="260"/>
      <c r="CA578" s="259"/>
      <c r="CB578" s="259"/>
      <c r="CC578" s="259"/>
      <c r="CD578" s="259"/>
      <c r="CE578" s="259"/>
      <c r="CF578" s="259"/>
      <c r="CG578" s="259"/>
      <c r="CH578" s="259"/>
      <c r="CI578" s="259"/>
      <c r="CJ578" s="259"/>
      <c r="CK578" s="259"/>
      <c r="CL578" s="259"/>
      <c r="CM578" s="259"/>
      <c r="CN578" s="259"/>
      <c r="CO578" s="259"/>
      <c r="CP578" s="259"/>
      <c r="CQ578" s="259"/>
      <c r="CR578" s="259"/>
      <c r="CS578" s="259"/>
      <c r="CT578" s="259"/>
      <c r="CU578" s="259"/>
      <c r="CV578" s="259"/>
      <c r="CW578" s="259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  <c r="BN579" s="30"/>
      <c r="BO579" s="259"/>
      <c r="BP579" s="259"/>
      <c r="BQ579" s="259"/>
      <c r="BR579" s="259"/>
      <c r="BS579" s="259"/>
      <c r="BT579" s="259"/>
      <c r="BU579" s="259"/>
      <c r="BV579" s="259"/>
      <c r="BW579" s="259"/>
      <c r="BX579" s="259"/>
      <c r="BY579" s="259"/>
      <c r="BZ579" s="260"/>
      <c r="CA579" s="259"/>
      <c r="CB579" s="259"/>
      <c r="CC579" s="259"/>
      <c r="CD579" s="259"/>
      <c r="CE579" s="259"/>
      <c r="CF579" s="259"/>
      <c r="CG579" s="259"/>
      <c r="CH579" s="259"/>
      <c r="CI579" s="259"/>
      <c r="CJ579" s="259"/>
      <c r="CK579" s="259"/>
      <c r="CL579" s="259"/>
      <c r="CM579" s="259"/>
      <c r="CN579" s="259"/>
      <c r="CO579" s="259"/>
      <c r="CP579" s="259"/>
      <c r="CQ579" s="259"/>
      <c r="CR579" s="259"/>
      <c r="CS579" s="259"/>
      <c r="CT579" s="259"/>
      <c r="CU579" s="259"/>
      <c r="CV579" s="259"/>
      <c r="CW579" s="259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/>
      <c r="BO580" s="259"/>
      <c r="BP580" s="259"/>
      <c r="BQ580" s="259"/>
      <c r="BR580" s="259"/>
      <c r="BS580" s="259"/>
      <c r="BT580" s="259"/>
      <c r="BU580" s="259"/>
      <c r="BV580" s="259"/>
      <c r="BW580" s="259"/>
      <c r="BX580" s="259"/>
      <c r="BY580" s="259"/>
      <c r="BZ580" s="260"/>
      <c r="CA580" s="259"/>
      <c r="CB580" s="259"/>
      <c r="CC580" s="259"/>
      <c r="CD580" s="259"/>
      <c r="CE580" s="259"/>
      <c r="CF580" s="259"/>
      <c r="CG580" s="259"/>
      <c r="CH580" s="259"/>
      <c r="CI580" s="259"/>
      <c r="CJ580" s="259"/>
      <c r="CK580" s="259"/>
      <c r="CL580" s="259"/>
      <c r="CM580" s="259"/>
      <c r="CN580" s="259"/>
      <c r="CO580" s="259"/>
      <c r="CP580" s="259"/>
      <c r="CQ580" s="259"/>
      <c r="CR580" s="259"/>
      <c r="CS580" s="259"/>
      <c r="CT580" s="259"/>
      <c r="CU580" s="259"/>
      <c r="CV580" s="259"/>
      <c r="CW580" s="259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  <c r="BJ581" s="30"/>
      <c r="BK581" s="30"/>
      <c r="BL581" s="30"/>
      <c r="BM581" s="30"/>
      <c r="BN581" s="30"/>
      <c r="BO581" s="259"/>
      <c r="BP581" s="259"/>
      <c r="BQ581" s="259"/>
      <c r="BR581" s="259"/>
      <c r="BS581" s="259"/>
      <c r="BT581" s="259"/>
      <c r="BU581" s="259"/>
      <c r="BV581" s="259"/>
      <c r="BW581" s="259"/>
      <c r="BX581" s="259"/>
      <c r="BY581" s="259"/>
      <c r="BZ581" s="260"/>
      <c r="CA581" s="259"/>
      <c r="CB581" s="259"/>
      <c r="CC581" s="259"/>
      <c r="CD581" s="259"/>
      <c r="CE581" s="259"/>
      <c r="CF581" s="259"/>
      <c r="CG581" s="259"/>
      <c r="CH581" s="259"/>
      <c r="CI581" s="259"/>
      <c r="CJ581" s="259"/>
      <c r="CK581" s="259"/>
      <c r="CL581" s="259"/>
      <c r="CM581" s="259"/>
      <c r="CN581" s="259"/>
      <c r="CO581" s="259"/>
      <c r="CP581" s="259"/>
      <c r="CQ581" s="259"/>
      <c r="CR581" s="259"/>
      <c r="CS581" s="259"/>
      <c r="CT581" s="259"/>
      <c r="CU581" s="259"/>
      <c r="CV581" s="259"/>
      <c r="CW581" s="259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259"/>
      <c r="BP582" s="259"/>
      <c r="BQ582" s="259"/>
      <c r="BR582" s="259"/>
      <c r="BS582" s="259"/>
      <c r="BT582" s="259"/>
      <c r="BU582" s="259"/>
      <c r="BV582" s="259"/>
      <c r="BW582" s="259"/>
      <c r="BX582" s="259"/>
      <c r="BY582" s="259"/>
      <c r="BZ582" s="260"/>
      <c r="CA582" s="259"/>
      <c r="CB582" s="259"/>
      <c r="CC582" s="259"/>
      <c r="CD582" s="259"/>
      <c r="CE582" s="259"/>
      <c r="CF582" s="259"/>
      <c r="CG582" s="259"/>
      <c r="CH582" s="259"/>
      <c r="CI582" s="259"/>
      <c r="CJ582" s="259"/>
      <c r="CK582" s="259"/>
      <c r="CL582" s="259"/>
      <c r="CM582" s="259"/>
      <c r="CN582" s="259"/>
      <c r="CO582" s="259"/>
      <c r="CP582" s="259"/>
      <c r="CQ582" s="259"/>
      <c r="CR582" s="259"/>
      <c r="CS582" s="259"/>
      <c r="CT582" s="259"/>
      <c r="CU582" s="259"/>
      <c r="CV582" s="259"/>
      <c r="CW582" s="259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259"/>
      <c r="BP583" s="259"/>
      <c r="BQ583" s="259"/>
      <c r="BR583" s="259"/>
      <c r="BS583" s="259"/>
      <c r="BT583" s="259"/>
      <c r="BU583" s="259"/>
      <c r="BV583" s="259"/>
      <c r="BW583" s="259"/>
      <c r="BX583" s="259"/>
      <c r="BY583" s="259"/>
      <c r="BZ583" s="260"/>
      <c r="CA583" s="259"/>
      <c r="CB583" s="259"/>
      <c r="CC583" s="259"/>
      <c r="CD583" s="259"/>
      <c r="CE583" s="259"/>
      <c r="CF583" s="259"/>
      <c r="CG583" s="259"/>
      <c r="CH583" s="259"/>
      <c r="CI583" s="259"/>
      <c r="CJ583" s="259"/>
      <c r="CK583" s="259"/>
      <c r="CL583" s="259"/>
      <c r="CM583" s="259"/>
      <c r="CN583" s="259"/>
      <c r="CO583" s="259"/>
      <c r="CP583" s="259"/>
      <c r="CQ583" s="259"/>
      <c r="CR583" s="259"/>
      <c r="CS583" s="259"/>
      <c r="CT583" s="259"/>
      <c r="CU583" s="259"/>
      <c r="CV583" s="259"/>
      <c r="CW583" s="259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259"/>
      <c r="BP584" s="259"/>
      <c r="BQ584" s="259"/>
      <c r="BR584" s="259"/>
      <c r="BS584" s="259"/>
      <c r="BT584" s="259"/>
      <c r="BU584" s="259"/>
      <c r="BV584" s="259"/>
      <c r="BW584" s="259"/>
      <c r="BX584" s="259"/>
      <c r="BY584" s="259"/>
      <c r="BZ584" s="260"/>
      <c r="CA584" s="259"/>
      <c r="CB584" s="259"/>
      <c r="CC584" s="259"/>
      <c r="CD584" s="259"/>
      <c r="CE584" s="259"/>
      <c r="CF584" s="259"/>
      <c r="CG584" s="259"/>
      <c r="CH584" s="259"/>
      <c r="CI584" s="259"/>
      <c r="CJ584" s="259"/>
      <c r="CK584" s="259"/>
      <c r="CL584" s="259"/>
      <c r="CM584" s="259"/>
      <c r="CN584" s="259"/>
      <c r="CO584" s="259"/>
      <c r="CP584" s="259"/>
      <c r="CQ584" s="259"/>
      <c r="CR584" s="259"/>
      <c r="CS584" s="259"/>
      <c r="CT584" s="259"/>
      <c r="CU584" s="259"/>
      <c r="CV584" s="259"/>
      <c r="CW584" s="259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259"/>
      <c r="BP585" s="259"/>
      <c r="BQ585" s="259"/>
      <c r="BR585" s="259"/>
      <c r="BS585" s="259"/>
      <c r="BT585" s="259"/>
      <c r="BU585" s="259"/>
      <c r="BV585" s="259"/>
      <c r="BW585" s="259"/>
      <c r="BX585" s="259"/>
      <c r="BY585" s="259"/>
      <c r="BZ585" s="260"/>
      <c r="CA585" s="259"/>
      <c r="CB585" s="259"/>
      <c r="CC585" s="259"/>
      <c r="CD585" s="259"/>
      <c r="CE585" s="259"/>
      <c r="CF585" s="259"/>
      <c r="CG585" s="259"/>
      <c r="CH585" s="259"/>
      <c r="CI585" s="259"/>
      <c r="CJ585" s="259"/>
      <c r="CK585" s="259"/>
      <c r="CL585" s="259"/>
      <c r="CM585" s="259"/>
      <c r="CN585" s="259"/>
      <c r="CO585" s="259"/>
      <c r="CP585" s="259"/>
      <c r="CQ585" s="259"/>
      <c r="CR585" s="259"/>
      <c r="CS585" s="259"/>
      <c r="CT585" s="259"/>
      <c r="CU585" s="259"/>
      <c r="CV585" s="259"/>
      <c r="CW585" s="259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  <c r="BN586" s="30"/>
      <c r="BO586" s="259"/>
      <c r="BP586" s="259"/>
      <c r="BQ586" s="259"/>
      <c r="BR586" s="259"/>
      <c r="BS586" s="259"/>
      <c r="BT586" s="259"/>
      <c r="BU586" s="259"/>
      <c r="BV586" s="259"/>
      <c r="BW586" s="259"/>
      <c r="BX586" s="259"/>
      <c r="BY586" s="259"/>
      <c r="BZ586" s="260"/>
      <c r="CA586" s="259"/>
      <c r="CB586" s="259"/>
      <c r="CC586" s="259"/>
      <c r="CD586" s="259"/>
      <c r="CE586" s="259"/>
      <c r="CF586" s="259"/>
      <c r="CG586" s="259"/>
      <c r="CH586" s="259"/>
      <c r="CI586" s="259"/>
      <c r="CJ586" s="259"/>
      <c r="CK586" s="259"/>
      <c r="CL586" s="259"/>
      <c r="CM586" s="259"/>
      <c r="CN586" s="259"/>
      <c r="CO586" s="259"/>
      <c r="CP586" s="259"/>
      <c r="CQ586" s="259"/>
      <c r="CR586" s="259"/>
      <c r="CS586" s="259"/>
      <c r="CT586" s="259"/>
      <c r="CU586" s="259"/>
      <c r="CV586" s="259"/>
      <c r="CW586" s="259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  <c r="BN587" s="30"/>
      <c r="BO587" s="259"/>
      <c r="BP587" s="259"/>
      <c r="BQ587" s="259"/>
      <c r="BR587" s="259"/>
      <c r="BS587" s="259"/>
      <c r="BT587" s="259"/>
      <c r="BU587" s="259"/>
      <c r="BV587" s="259"/>
      <c r="BW587" s="259"/>
      <c r="BX587" s="259"/>
      <c r="BY587" s="259"/>
      <c r="BZ587" s="260"/>
      <c r="CA587" s="259"/>
      <c r="CB587" s="259"/>
      <c r="CC587" s="259"/>
      <c r="CD587" s="259"/>
      <c r="CE587" s="259"/>
      <c r="CF587" s="259"/>
      <c r="CG587" s="259"/>
      <c r="CH587" s="259"/>
      <c r="CI587" s="259"/>
      <c r="CJ587" s="259"/>
      <c r="CK587" s="259"/>
      <c r="CL587" s="259"/>
      <c r="CM587" s="259"/>
      <c r="CN587" s="259"/>
      <c r="CO587" s="259"/>
      <c r="CP587" s="259"/>
      <c r="CQ587" s="259"/>
      <c r="CR587" s="259"/>
      <c r="CS587" s="259"/>
      <c r="CT587" s="259"/>
      <c r="CU587" s="259"/>
      <c r="CV587" s="259"/>
      <c r="CW587" s="259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259"/>
      <c r="BP588" s="259"/>
      <c r="BQ588" s="259"/>
      <c r="BR588" s="259"/>
      <c r="BS588" s="259"/>
      <c r="BT588" s="259"/>
      <c r="BU588" s="259"/>
      <c r="BV588" s="259"/>
      <c r="BW588" s="259"/>
      <c r="BX588" s="259"/>
      <c r="BY588" s="259"/>
      <c r="BZ588" s="260"/>
      <c r="CA588" s="259"/>
      <c r="CB588" s="259"/>
      <c r="CC588" s="259"/>
      <c r="CD588" s="259"/>
      <c r="CE588" s="259"/>
      <c r="CF588" s="259"/>
      <c r="CG588" s="259"/>
      <c r="CH588" s="259"/>
      <c r="CI588" s="259"/>
      <c r="CJ588" s="259"/>
      <c r="CK588" s="259"/>
      <c r="CL588" s="259"/>
      <c r="CM588" s="259"/>
      <c r="CN588" s="259"/>
      <c r="CO588" s="259"/>
      <c r="CP588" s="259"/>
      <c r="CQ588" s="259"/>
      <c r="CR588" s="259"/>
      <c r="CS588" s="259"/>
      <c r="CT588" s="259"/>
      <c r="CU588" s="259"/>
      <c r="CV588" s="259"/>
      <c r="CW588" s="259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259"/>
      <c r="BP589" s="259"/>
      <c r="BQ589" s="259"/>
      <c r="BR589" s="259"/>
      <c r="BS589" s="259"/>
      <c r="BT589" s="259"/>
      <c r="BU589" s="259"/>
      <c r="BV589" s="259"/>
      <c r="BW589" s="259"/>
      <c r="BX589" s="259"/>
      <c r="BY589" s="259"/>
      <c r="BZ589" s="260"/>
      <c r="CA589" s="259"/>
      <c r="CB589" s="259"/>
      <c r="CC589" s="259"/>
      <c r="CD589" s="259"/>
      <c r="CE589" s="259"/>
      <c r="CF589" s="259"/>
      <c r="CG589" s="259"/>
      <c r="CH589" s="259"/>
      <c r="CI589" s="259"/>
      <c r="CJ589" s="259"/>
      <c r="CK589" s="259"/>
      <c r="CL589" s="259"/>
      <c r="CM589" s="259"/>
      <c r="CN589" s="259"/>
      <c r="CO589" s="259"/>
      <c r="CP589" s="259"/>
      <c r="CQ589" s="259"/>
      <c r="CR589" s="259"/>
      <c r="CS589" s="259"/>
      <c r="CT589" s="259"/>
      <c r="CU589" s="259"/>
      <c r="CV589" s="259"/>
      <c r="CW589" s="259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259"/>
      <c r="BP590" s="259"/>
      <c r="BQ590" s="259"/>
      <c r="BR590" s="259"/>
      <c r="BS590" s="259"/>
      <c r="BT590" s="259"/>
      <c r="BU590" s="259"/>
      <c r="BV590" s="259"/>
      <c r="BW590" s="259"/>
      <c r="BX590" s="259"/>
      <c r="BY590" s="259"/>
      <c r="BZ590" s="260"/>
      <c r="CA590" s="259"/>
      <c r="CB590" s="259"/>
      <c r="CC590" s="259"/>
      <c r="CD590" s="259"/>
      <c r="CE590" s="259"/>
      <c r="CF590" s="259"/>
      <c r="CG590" s="259"/>
      <c r="CH590" s="259"/>
      <c r="CI590" s="259"/>
      <c r="CJ590" s="259"/>
      <c r="CK590" s="259"/>
      <c r="CL590" s="259"/>
      <c r="CM590" s="259"/>
      <c r="CN590" s="259"/>
      <c r="CO590" s="259"/>
      <c r="CP590" s="259"/>
      <c r="CQ590" s="259"/>
      <c r="CR590" s="259"/>
      <c r="CS590" s="259"/>
      <c r="CT590" s="259"/>
      <c r="CU590" s="259"/>
      <c r="CV590" s="259"/>
      <c r="CW590" s="259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259"/>
      <c r="BP591" s="259"/>
      <c r="BQ591" s="259"/>
      <c r="BR591" s="259"/>
      <c r="BS591" s="259"/>
      <c r="BT591" s="259"/>
      <c r="BU591" s="259"/>
      <c r="BV591" s="259"/>
      <c r="BW591" s="259"/>
      <c r="BX591" s="259"/>
      <c r="BY591" s="259"/>
      <c r="BZ591" s="260"/>
      <c r="CA591" s="259"/>
      <c r="CB591" s="259"/>
      <c r="CC591" s="259"/>
      <c r="CD591" s="259"/>
      <c r="CE591" s="259"/>
      <c r="CF591" s="259"/>
      <c r="CG591" s="259"/>
      <c r="CH591" s="259"/>
      <c r="CI591" s="259"/>
      <c r="CJ591" s="259"/>
      <c r="CK591" s="259"/>
      <c r="CL591" s="259"/>
      <c r="CM591" s="259"/>
      <c r="CN591" s="259"/>
      <c r="CO591" s="259"/>
      <c r="CP591" s="259"/>
      <c r="CQ591" s="259"/>
      <c r="CR591" s="259"/>
      <c r="CS591" s="259"/>
      <c r="CT591" s="259"/>
      <c r="CU591" s="259"/>
      <c r="CV591" s="259"/>
      <c r="CW591" s="259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259"/>
      <c r="BP592" s="259"/>
      <c r="BQ592" s="259"/>
      <c r="BR592" s="259"/>
      <c r="BS592" s="259"/>
      <c r="BT592" s="259"/>
      <c r="BU592" s="259"/>
      <c r="BV592" s="259"/>
      <c r="BW592" s="259"/>
      <c r="BX592" s="259"/>
      <c r="BY592" s="259"/>
      <c r="BZ592" s="260"/>
      <c r="CA592" s="259"/>
      <c r="CB592" s="259"/>
      <c r="CC592" s="259"/>
      <c r="CD592" s="259"/>
      <c r="CE592" s="259"/>
      <c r="CF592" s="259"/>
      <c r="CG592" s="259"/>
      <c r="CH592" s="259"/>
      <c r="CI592" s="259"/>
      <c r="CJ592" s="259"/>
      <c r="CK592" s="259"/>
      <c r="CL592" s="259"/>
      <c r="CM592" s="259"/>
      <c r="CN592" s="259"/>
      <c r="CO592" s="259"/>
      <c r="CP592" s="259"/>
      <c r="CQ592" s="259"/>
      <c r="CR592" s="259"/>
      <c r="CS592" s="259"/>
      <c r="CT592" s="259"/>
      <c r="CU592" s="259"/>
      <c r="CV592" s="259"/>
      <c r="CW592" s="259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259"/>
      <c r="BP593" s="259"/>
      <c r="BQ593" s="259"/>
      <c r="BR593" s="259"/>
      <c r="BS593" s="259"/>
      <c r="BT593" s="259"/>
      <c r="BU593" s="259"/>
      <c r="BV593" s="259"/>
      <c r="BW593" s="259"/>
      <c r="BX593" s="259"/>
      <c r="BY593" s="259"/>
      <c r="BZ593" s="260"/>
      <c r="CA593" s="259"/>
      <c r="CB593" s="259"/>
      <c r="CC593" s="259"/>
      <c r="CD593" s="259"/>
      <c r="CE593" s="259"/>
      <c r="CF593" s="259"/>
      <c r="CG593" s="259"/>
      <c r="CH593" s="259"/>
      <c r="CI593" s="259"/>
      <c r="CJ593" s="259"/>
      <c r="CK593" s="259"/>
      <c r="CL593" s="259"/>
      <c r="CM593" s="259"/>
      <c r="CN593" s="259"/>
      <c r="CO593" s="259"/>
      <c r="CP593" s="259"/>
      <c r="CQ593" s="259"/>
      <c r="CR593" s="259"/>
      <c r="CS593" s="259"/>
      <c r="CT593" s="259"/>
      <c r="CU593" s="259"/>
      <c r="CV593" s="259"/>
      <c r="CW593" s="259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259"/>
      <c r="BP594" s="259"/>
      <c r="BQ594" s="259"/>
      <c r="BR594" s="259"/>
      <c r="BS594" s="259"/>
      <c r="BT594" s="259"/>
      <c r="BU594" s="259"/>
      <c r="BV594" s="259"/>
      <c r="BW594" s="259"/>
      <c r="BX594" s="259"/>
      <c r="BY594" s="259"/>
      <c r="BZ594" s="260"/>
      <c r="CA594" s="259"/>
      <c r="CB594" s="259"/>
      <c r="CC594" s="259"/>
      <c r="CD594" s="259"/>
      <c r="CE594" s="259"/>
      <c r="CF594" s="259"/>
      <c r="CG594" s="259"/>
      <c r="CH594" s="259"/>
      <c r="CI594" s="259"/>
      <c r="CJ594" s="259"/>
      <c r="CK594" s="259"/>
      <c r="CL594" s="259"/>
      <c r="CM594" s="259"/>
      <c r="CN594" s="259"/>
      <c r="CO594" s="259"/>
      <c r="CP594" s="259"/>
      <c r="CQ594" s="259"/>
      <c r="CR594" s="259"/>
      <c r="CS594" s="259"/>
      <c r="CT594" s="259"/>
      <c r="CU594" s="259"/>
      <c r="CV594" s="259"/>
      <c r="CW594" s="259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259"/>
      <c r="BP595" s="259"/>
      <c r="BQ595" s="259"/>
      <c r="BR595" s="259"/>
      <c r="BS595" s="259"/>
      <c r="BT595" s="259"/>
      <c r="BU595" s="259"/>
      <c r="BV595" s="259"/>
      <c r="BW595" s="259"/>
      <c r="BX595" s="259"/>
      <c r="BY595" s="259"/>
      <c r="BZ595" s="260"/>
      <c r="CA595" s="259"/>
      <c r="CB595" s="259"/>
      <c r="CC595" s="259"/>
      <c r="CD595" s="259"/>
      <c r="CE595" s="259"/>
      <c r="CF595" s="259"/>
      <c r="CG595" s="259"/>
      <c r="CH595" s="259"/>
      <c r="CI595" s="259"/>
      <c r="CJ595" s="259"/>
      <c r="CK595" s="259"/>
      <c r="CL595" s="259"/>
      <c r="CM595" s="259"/>
      <c r="CN595" s="259"/>
      <c r="CO595" s="259"/>
      <c r="CP595" s="259"/>
      <c r="CQ595" s="259"/>
      <c r="CR595" s="259"/>
      <c r="CS595" s="259"/>
      <c r="CT595" s="259"/>
      <c r="CU595" s="259"/>
      <c r="CV595" s="259"/>
      <c r="CW595" s="259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259"/>
      <c r="BP596" s="259"/>
      <c r="BQ596" s="259"/>
      <c r="BR596" s="259"/>
      <c r="BS596" s="259"/>
      <c r="BT596" s="259"/>
      <c r="BU596" s="259"/>
      <c r="BV596" s="259"/>
      <c r="BW596" s="259"/>
      <c r="BX596" s="259"/>
      <c r="BY596" s="259"/>
      <c r="BZ596" s="260"/>
      <c r="CA596" s="259"/>
      <c r="CB596" s="259"/>
      <c r="CC596" s="259"/>
      <c r="CD596" s="259"/>
      <c r="CE596" s="259"/>
      <c r="CF596" s="259"/>
      <c r="CG596" s="259"/>
      <c r="CH596" s="259"/>
      <c r="CI596" s="259"/>
      <c r="CJ596" s="259"/>
      <c r="CK596" s="259"/>
      <c r="CL596" s="259"/>
      <c r="CM596" s="259"/>
      <c r="CN596" s="259"/>
      <c r="CO596" s="259"/>
      <c r="CP596" s="259"/>
      <c r="CQ596" s="259"/>
      <c r="CR596" s="259"/>
      <c r="CS596" s="259"/>
      <c r="CT596" s="259"/>
      <c r="CU596" s="259"/>
      <c r="CV596" s="259"/>
      <c r="CW596" s="259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259"/>
      <c r="BP597" s="259"/>
      <c r="BQ597" s="259"/>
      <c r="BR597" s="259"/>
      <c r="BS597" s="259"/>
      <c r="BT597" s="259"/>
      <c r="BU597" s="259"/>
      <c r="BV597" s="259"/>
      <c r="BW597" s="259"/>
      <c r="BX597" s="259"/>
      <c r="BY597" s="259"/>
      <c r="BZ597" s="260"/>
      <c r="CA597" s="259"/>
      <c r="CB597" s="259"/>
      <c r="CC597" s="259"/>
      <c r="CD597" s="259"/>
      <c r="CE597" s="259"/>
      <c r="CF597" s="259"/>
      <c r="CG597" s="259"/>
      <c r="CH597" s="259"/>
      <c r="CI597" s="259"/>
      <c r="CJ597" s="259"/>
      <c r="CK597" s="259"/>
      <c r="CL597" s="259"/>
      <c r="CM597" s="259"/>
      <c r="CN597" s="259"/>
      <c r="CO597" s="259"/>
      <c r="CP597" s="259"/>
      <c r="CQ597" s="259"/>
      <c r="CR597" s="259"/>
      <c r="CS597" s="259"/>
      <c r="CT597" s="259"/>
      <c r="CU597" s="259"/>
      <c r="CV597" s="259"/>
      <c r="CW597" s="259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259"/>
      <c r="BP598" s="259"/>
      <c r="BQ598" s="259"/>
      <c r="BR598" s="259"/>
      <c r="BS598" s="259"/>
      <c r="BT598" s="259"/>
      <c r="BU598" s="259"/>
      <c r="BV598" s="259"/>
      <c r="BW598" s="259"/>
      <c r="BX598" s="259"/>
      <c r="BY598" s="259"/>
      <c r="BZ598" s="260"/>
      <c r="CA598" s="259"/>
      <c r="CB598" s="259"/>
      <c r="CC598" s="259"/>
      <c r="CD598" s="259"/>
      <c r="CE598" s="259"/>
      <c r="CF598" s="259"/>
      <c r="CG598" s="259"/>
      <c r="CH598" s="259"/>
      <c r="CI598" s="259"/>
      <c r="CJ598" s="259"/>
      <c r="CK598" s="259"/>
      <c r="CL598" s="259"/>
      <c r="CM598" s="259"/>
      <c r="CN598" s="259"/>
      <c r="CO598" s="259"/>
      <c r="CP598" s="259"/>
      <c r="CQ598" s="259"/>
      <c r="CR598" s="259"/>
      <c r="CS598" s="259"/>
      <c r="CT598" s="259"/>
      <c r="CU598" s="259"/>
      <c r="CV598" s="259"/>
      <c r="CW598" s="259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  <c r="BN599" s="30"/>
      <c r="BO599" s="259"/>
      <c r="BP599" s="259"/>
      <c r="BQ599" s="259"/>
      <c r="BR599" s="259"/>
      <c r="BS599" s="259"/>
      <c r="BT599" s="259"/>
      <c r="BU599" s="259"/>
      <c r="BV599" s="259"/>
      <c r="BW599" s="259"/>
      <c r="BX599" s="259"/>
      <c r="BY599" s="259"/>
      <c r="BZ599" s="260"/>
      <c r="CA599" s="259"/>
      <c r="CB599" s="259"/>
      <c r="CC599" s="259"/>
      <c r="CD599" s="259"/>
      <c r="CE599" s="259"/>
      <c r="CF599" s="259"/>
      <c r="CG599" s="259"/>
      <c r="CH599" s="259"/>
      <c r="CI599" s="259"/>
      <c r="CJ599" s="259"/>
      <c r="CK599" s="259"/>
      <c r="CL599" s="259"/>
      <c r="CM599" s="259"/>
      <c r="CN599" s="259"/>
      <c r="CO599" s="259"/>
      <c r="CP599" s="259"/>
      <c r="CQ599" s="259"/>
      <c r="CR599" s="259"/>
      <c r="CS599" s="259"/>
      <c r="CT599" s="259"/>
      <c r="CU599" s="259"/>
      <c r="CV599" s="259"/>
      <c r="CW599" s="259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259"/>
      <c r="BP600" s="259"/>
      <c r="BQ600" s="259"/>
      <c r="BR600" s="259"/>
      <c r="BS600" s="259"/>
      <c r="BT600" s="259"/>
      <c r="BU600" s="259"/>
      <c r="BV600" s="259"/>
      <c r="BW600" s="259"/>
      <c r="BX600" s="259"/>
      <c r="BY600" s="259"/>
      <c r="BZ600" s="260"/>
      <c r="CA600" s="259"/>
      <c r="CB600" s="259"/>
      <c r="CC600" s="259"/>
      <c r="CD600" s="259"/>
      <c r="CE600" s="259"/>
      <c r="CF600" s="259"/>
      <c r="CG600" s="259"/>
      <c r="CH600" s="259"/>
      <c r="CI600" s="259"/>
      <c r="CJ600" s="259"/>
      <c r="CK600" s="259"/>
      <c r="CL600" s="259"/>
      <c r="CM600" s="259"/>
      <c r="CN600" s="259"/>
      <c r="CO600" s="259"/>
      <c r="CP600" s="259"/>
      <c r="CQ600" s="259"/>
      <c r="CR600" s="259"/>
      <c r="CS600" s="259"/>
      <c r="CT600" s="259"/>
      <c r="CU600" s="259"/>
      <c r="CV600" s="259"/>
      <c r="CW600" s="259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  <c r="BN601" s="30"/>
      <c r="BO601" s="259"/>
      <c r="BP601" s="259"/>
      <c r="BQ601" s="259"/>
      <c r="BR601" s="259"/>
      <c r="BS601" s="259"/>
      <c r="BT601" s="259"/>
      <c r="BU601" s="259"/>
      <c r="BV601" s="259"/>
      <c r="BW601" s="259"/>
      <c r="BX601" s="259"/>
      <c r="BY601" s="259"/>
      <c r="BZ601" s="260"/>
      <c r="CA601" s="259"/>
      <c r="CB601" s="259"/>
      <c r="CC601" s="259"/>
      <c r="CD601" s="259"/>
      <c r="CE601" s="259"/>
      <c r="CF601" s="259"/>
      <c r="CG601" s="259"/>
      <c r="CH601" s="259"/>
      <c r="CI601" s="259"/>
      <c r="CJ601" s="259"/>
      <c r="CK601" s="259"/>
      <c r="CL601" s="259"/>
      <c r="CM601" s="259"/>
      <c r="CN601" s="259"/>
      <c r="CO601" s="259"/>
      <c r="CP601" s="259"/>
      <c r="CQ601" s="259"/>
      <c r="CR601" s="259"/>
      <c r="CS601" s="259"/>
      <c r="CT601" s="259"/>
      <c r="CU601" s="259"/>
      <c r="CV601" s="259"/>
      <c r="CW601" s="259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259"/>
      <c r="BP602" s="259"/>
      <c r="BQ602" s="259"/>
      <c r="BR602" s="259"/>
      <c r="BS602" s="259"/>
      <c r="BT602" s="259"/>
      <c r="BU602" s="259"/>
      <c r="BV602" s="259"/>
      <c r="BW602" s="259"/>
      <c r="BX602" s="259"/>
      <c r="BY602" s="259"/>
      <c r="BZ602" s="260"/>
      <c r="CA602" s="259"/>
      <c r="CB602" s="259"/>
      <c r="CC602" s="259"/>
      <c r="CD602" s="259"/>
      <c r="CE602" s="259"/>
      <c r="CF602" s="259"/>
      <c r="CG602" s="259"/>
      <c r="CH602" s="259"/>
      <c r="CI602" s="259"/>
      <c r="CJ602" s="259"/>
      <c r="CK602" s="259"/>
      <c r="CL602" s="259"/>
      <c r="CM602" s="259"/>
      <c r="CN602" s="259"/>
      <c r="CO602" s="259"/>
      <c r="CP602" s="259"/>
      <c r="CQ602" s="259"/>
      <c r="CR602" s="259"/>
      <c r="CS602" s="259"/>
      <c r="CT602" s="259"/>
      <c r="CU602" s="259"/>
      <c r="CV602" s="259"/>
      <c r="CW602" s="259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30"/>
      <c r="BL603" s="30"/>
      <c r="BM603" s="30"/>
      <c r="BN603" s="30"/>
      <c r="BO603" s="259"/>
      <c r="BP603" s="259"/>
      <c r="BQ603" s="259"/>
      <c r="BR603" s="259"/>
      <c r="BS603" s="259"/>
      <c r="BT603" s="259"/>
      <c r="BU603" s="259"/>
      <c r="BV603" s="259"/>
      <c r="BW603" s="259"/>
      <c r="BX603" s="259"/>
      <c r="BY603" s="259"/>
      <c r="BZ603" s="260"/>
      <c r="CA603" s="259"/>
      <c r="CB603" s="259"/>
      <c r="CC603" s="259"/>
      <c r="CD603" s="259"/>
      <c r="CE603" s="259"/>
      <c r="CF603" s="259"/>
      <c r="CG603" s="259"/>
      <c r="CH603" s="259"/>
      <c r="CI603" s="259"/>
      <c r="CJ603" s="259"/>
      <c r="CK603" s="259"/>
      <c r="CL603" s="259"/>
      <c r="CM603" s="259"/>
      <c r="CN603" s="259"/>
      <c r="CO603" s="259"/>
      <c r="CP603" s="259"/>
      <c r="CQ603" s="259"/>
      <c r="CR603" s="259"/>
      <c r="CS603" s="259"/>
      <c r="CT603" s="259"/>
      <c r="CU603" s="259"/>
      <c r="CV603" s="259"/>
      <c r="CW603" s="259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30"/>
      <c r="BL604" s="30"/>
      <c r="BM604" s="30"/>
      <c r="BN604" s="30"/>
      <c r="BO604" s="259"/>
      <c r="BP604" s="259"/>
      <c r="BQ604" s="259"/>
      <c r="BR604" s="259"/>
      <c r="BS604" s="259"/>
      <c r="BT604" s="259"/>
      <c r="BU604" s="259"/>
      <c r="BV604" s="259"/>
      <c r="BW604" s="259"/>
      <c r="BX604" s="259"/>
      <c r="BY604" s="259"/>
      <c r="BZ604" s="260"/>
      <c r="CA604" s="259"/>
      <c r="CB604" s="259"/>
      <c r="CC604" s="259"/>
      <c r="CD604" s="259"/>
      <c r="CE604" s="259"/>
      <c r="CF604" s="259"/>
      <c r="CG604" s="259"/>
      <c r="CH604" s="259"/>
      <c r="CI604" s="259"/>
      <c r="CJ604" s="259"/>
      <c r="CK604" s="259"/>
      <c r="CL604" s="259"/>
      <c r="CM604" s="259"/>
      <c r="CN604" s="259"/>
      <c r="CO604" s="259"/>
      <c r="CP604" s="259"/>
      <c r="CQ604" s="259"/>
      <c r="CR604" s="259"/>
      <c r="CS604" s="259"/>
      <c r="CT604" s="259"/>
      <c r="CU604" s="259"/>
      <c r="CV604" s="259"/>
      <c r="CW604" s="259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  <c r="BN605" s="30"/>
      <c r="BO605" s="259"/>
      <c r="BP605" s="259"/>
      <c r="BQ605" s="259"/>
      <c r="BR605" s="259"/>
      <c r="BS605" s="259"/>
      <c r="BT605" s="259"/>
      <c r="BU605" s="259"/>
      <c r="BV605" s="259"/>
      <c r="BW605" s="259"/>
      <c r="BX605" s="259"/>
      <c r="BY605" s="259"/>
      <c r="BZ605" s="260"/>
      <c r="CA605" s="259"/>
      <c r="CB605" s="259"/>
      <c r="CC605" s="259"/>
      <c r="CD605" s="259"/>
      <c r="CE605" s="259"/>
      <c r="CF605" s="259"/>
      <c r="CG605" s="259"/>
      <c r="CH605" s="259"/>
      <c r="CI605" s="259"/>
      <c r="CJ605" s="259"/>
      <c r="CK605" s="259"/>
      <c r="CL605" s="259"/>
      <c r="CM605" s="259"/>
      <c r="CN605" s="259"/>
      <c r="CO605" s="259"/>
      <c r="CP605" s="259"/>
      <c r="CQ605" s="259"/>
      <c r="CR605" s="259"/>
      <c r="CS605" s="259"/>
      <c r="CT605" s="259"/>
      <c r="CU605" s="259"/>
      <c r="CV605" s="259"/>
      <c r="CW605" s="259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259"/>
      <c r="BP606" s="259"/>
      <c r="BQ606" s="259"/>
      <c r="BR606" s="259"/>
      <c r="BS606" s="259"/>
      <c r="BT606" s="259"/>
      <c r="BU606" s="259"/>
      <c r="BV606" s="259"/>
      <c r="BW606" s="259"/>
      <c r="BX606" s="259"/>
      <c r="BY606" s="259"/>
      <c r="BZ606" s="260"/>
      <c r="CA606" s="259"/>
      <c r="CB606" s="259"/>
      <c r="CC606" s="259"/>
      <c r="CD606" s="259"/>
      <c r="CE606" s="259"/>
      <c r="CF606" s="259"/>
      <c r="CG606" s="259"/>
      <c r="CH606" s="259"/>
      <c r="CI606" s="259"/>
      <c r="CJ606" s="259"/>
      <c r="CK606" s="259"/>
      <c r="CL606" s="259"/>
      <c r="CM606" s="259"/>
      <c r="CN606" s="259"/>
      <c r="CO606" s="259"/>
      <c r="CP606" s="259"/>
      <c r="CQ606" s="259"/>
      <c r="CR606" s="259"/>
      <c r="CS606" s="259"/>
      <c r="CT606" s="259"/>
      <c r="CU606" s="259"/>
      <c r="CV606" s="259"/>
      <c r="CW606" s="259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30"/>
      <c r="BL607" s="30"/>
      <c r="BM607" s="30"/>
      <c r="BN607" s="30"/>
      <c r="BO607" s="259"/>
      <c r="BP607" s="259"/>
      <c r="BQ607" s="259"/>
      <c r="BR607" s="259"/>
      <c r="BS607" s="259"/>
      <c r="BT607" s="259"/>
      <c r="BU607" s="259"/>
      <c r="BV607" s="259"/>
      <c r="BW607" s="259"/>
      <c r="BX607" s="259"/>
      <c r="BY607" s="259"/>
      <c r="BZ607" s="260"/>
      <c r="CA607" s="259"/>
      <c r="CB607" s="259"/>
      <c r="CC607" s="259"/>
      <c r="CD607" s="259"/>
      <c r="CE607" s="259"/>
      <c r="CF607" s="259"/>
      <c r="CG607" s="259"/>
      <c r="CH607" s="259"/>
      <c r="CI607" s="259"/>
      <c r="CJ607" s="259"/>
      <c r="CK607" s="259"/>
      <c r="CL607" s="259"/>
      <c r="CM607" s="259"/>
      <c r="CN607" s="259"/>
      <c r="CO607" s="259"/>
      <c r="CP607" s="259"/>
      <c r="CQ607" s="259"/>
      <c r="CR607" s="259"/>
      <c r="CS607" s="259"/>
      <c r="CT607" s="259"/>
      <c r="CU607" s="259"/>
      <c r="CV607" s="259"/>
      <c r="CW607" s="259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  <c r="BN608" s="30"/>
      <c r="BO608" s="259"/>
      <c r="BP608" s="259"/>
      <c r="BQ608" s="259"/>
      <c r="BR608" s="259"/>
      <c r="BS608" s="259"/>
      <c r="BT608" s="259"/>
      <c r="BU608" s="259"/>
      <c r="BV608" s="259"/>
      <c r="BW608" s="259"/>
      <c r="BX608" s="259"/>
      <c r="BY608" s="259"/>
      <c r="BZ608" s="260"/>
      <c r="CA608" s="259"/>
      <c r="CB608" s="259"/>
      <c r="CC608" s="259"/>
      <c r="CD608" s="259"/>
      <c r="CE608" s="259"/>
      <c r="CF608" s="259"/>
      <c r="CG608" s="259"/>
      <c r="CH608" s="259"/>
      <c r="CI608" s="259"/>
      <c r="CJ608" s="259"/>
      <c r="CK608" s="259"/>
      <c r="CL608" s="259"/>
      <c r="CM608" s="259"/>
      <c r="CN608" s="259"/>
      <c r="CO608" s="259"/>
      <c r="CP608" s="259"/>
      <c r="CQ608" s="259"/>
      <c r="CR608" s="259"/>
      <c r="CS608" s="259"/>
      <c r="CT608" s="259"/>
      <c r="CU608" s="259"/>
      <c r="CV608" s="259"/>
      <c r="CW608" s="259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259"/>
      <c r="BP609" s="259"/>
      <c r="BQ609" s="259"/>
      <c r="BR609" s="259"/>
      <c r="BS609" s="259"/>
      <c r="BT609" s="259"/>
      <c r="BU609" s="259"/>
      <c r="BV609" s="259"/>
      <c r="BW609" s="259"/>
      <c r="BX609" s="259"/>
      <c r="BY609" s="259"/>
      <c r="BZ609" s="260"/>
      <c r="CA609" s="259"/>
      <c r="CB609" s="259"/>
      <c r="CC609" s="259"/>
      <c r="CD609" s="259"/>
      <c r="CE609" s="259"/>
      <c r="CF609" s="259"/>
      <c r="CG609" s="259"/>
      <c r="CH609" s="259"/>
      <c r="CI609" s="259"/>
      <c r="CJ609" s="259"/>
      <c r="CK609" s="259"/>
      <c r="CL609" s="259"/>
      <c r="CM609" s="259"/>
      <c r="CN609" s="259"/>
      <c r="CO609" s="259"/>
      <c r="CP609" s="259"/>
      <c r="CQ609" s="259"/>
      <c r="CR609" s="259"/>
      <c r="CS609" s="259"/>
      <c r="CT609" s="259"/>
      <c r="CU609" s="259"/>
      <c r="CV609" s="259"/>
      <c r="CW609" s="259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30"/>
      <c r="BL610" s="30"/>
      <c r="BM610" s="30"/>
      <c r="BN610" s="30"/>
      <c r="BO610" s="259"/>
      <c r="BP610" s="259"/>
      <c r="BQ610" s="259"/>
      <c r="BR610" s="259"/>
      <c r="BS610" s="259"/>
      <c r="BT610" s="259"/>
      <c r="BU610" s="259"/>
      <c r="BV610" s="259"/>
      <c r="BW610" s="259"/>
      <c r="BX610" s="259"/>
      <c r="BY610" s="259"/>
      <c r="BZ610" s="260"/>
      <c r="CA610" s="259"/>
      <c r="CB610" s="259"/>
      <c r="CC610" s="259"/>
      <c r="CD610" s="259"/>
      <c r="CE610" s="259"/>
      <c r="CF610" s="259"/>
      <c r="CG610" s="259"/>
      <c r="CH610" s="259"/>
      <c r="CI610" s="259"/>
      <c r="CJ610" s="259"/>
      <c r="CK610" s="259"/>
      <c r="CL610" s="259"/>
      <c r="CM610" s="259"/>
      <c r="CN610" s="259"/>
      <c r="CO610" s="259"/>
      <c r="CP610" s="259"/>
      <c r="CQ610" s="259"/>
      <c r="CR610" s="259"/>
      <c r="CS610" s="259"/>
      <c r="CT610" s="259"/>
      <c r="CU610" s="259"/>
      <c r="CV610" s="259"/>
      <c r="CW610" s="259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259"/>
      <c r="BP611" s="259"/>
      <c r="BQ611" s="259"/>
      <c r="BR611" s="259"/>
      <c r="BS611" s="259"/>
      <c r="BT611" s="259"/>
      <c r="BU611" s="259"/>
      <c r="BV611" s="259"/>
      <c r="BW611" s="259"/>
      <c r="BX611" s="259"/>
      <c r="BY611" s="259"/>
      <c r="BZ611" s="260"/>
      <c r="CA611" s="259"/>
      <c r="CB611" s="259"/>
      <c r="CC611" s="259"/>
      <c r="CD611" s="259"/>
      <c r="CE611" s="259"/>
      <c r="CF611" s="259"/>
      <c r="CG611" s="259"/>
      <c r="CH611" s="259"/>
      <c r="CI611" s="259"/>
      <c r="CJ611" s="259"/>
      <c r="CK611" s="259"/>
      <c r="CL611" s="259"/>
      <c r="CM611" s="259"/>
      <c r="CN611" s="259"/>
      <c r="CO611" s="259"/>
      <c r="CP611" s="259"/>
      <c r="CQ611" s="259"/>
      <c r="CR611" s="259"/>
      <c r="CS611" s="259"/>
      <c r="CT611" s="259"/>
      <c r="CU611" s="259"/>
      <c r="CV611" s="259"/>
      <c r="CW611" s="259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  <c r="BN612" s="30"/>
      <c r="BO612" s="259"/>
      <c r="BP612" s="259"/>
      <c r="BQ612" s="259"/>
      <c r="BR612" s="259"/>
      <c r="BS612" s="259"/>
      <c r="BT612" s="259"/>
      <c r="BU612" s="259"/>
      <c r="BV612" s="259"/>
      <c r="BW612" s="259"/>
      <c r="BX612" s="259"/>
      <c r="BY612" s="259"/>
      <c r="BZ612" s="260"/>
      <c r="CA612" s="259"/>
      <c r="CB612" s="259"/>
      <c r="CC612" s="259"/>
      <c r="CD612" s="259"/>
      <c r="CE612" s="259"/>
      <c r="CF612" s="259"/>
      <c r="CG612" s="259"/>
      <c r="CH612" s="259"/>
      <c r="CI612" s="259"/>
      <c r="CJ612" s="259"/>
      <c r="CK612" s="259"/>
      <c r="CL612" s="259"/>
      <c r="CM612" s="259"/>
      <c r="CN612" s="259"/>
      <c r="CO612" s="259"/>
      <c r="CP612" s="259"/>
      <c r="CQ612" s="259"/>
      <c r="CR612" s="259"/>
      <c r="CS612" s="259"/>
      <c r="CT612" s="259"/>
      <c r="CU612" s="259"/>
      <c r="CV612" s="259"/>
      <c r="CW612" s="259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  <c r="BN613" s="30"/>
      <c r="BO613" s="259"/>
      <c r="BP613" s="259"/>
      <c r="BQ613" s="259"/>
      <c r="BR613" s="259"/>
      <c r="BS613" s="259"/>
      <c r="BT613" s="259"/>
      <c r="BU613" s="259"/>
      <c r="BV613" s="259"/>
      <c r="BW613" s="259"/>
      <c r="BX613" s="259"/>
      <c r="BY613" s="259"/>
      <c r="BZ613" s="260"/>
      <c r="CA613" s="259"/>
      <c r="CB613" s="259"/>
      <c r="CC613" s="259"/>
      <c r="CD613" s="259"/>
      <c r="CE613" s="259"/>
      <c r="CF613" s="259"/>
      <c r="CG613" s="259"/>
      <c r="CH613" s="259"/>
      <c r="CI613" s="259"/>
      <c r="CJ613" s="259"/>
      <c r="CK613" s="259"/>
      <c r="CL613" s="259"/>
      <c r="CM613" s="259"/>
      <c r="CN613" s="259"/>
      <c r="CO613" s="259"/>
      <c r="CP613" s="259"/>
      <c r="CQ613" s="259"/>
      <c r="CR613" s="259"/>
      <c r="CS613" s="259"/>
      <c r="CT613" s="259"/>
      <c r="CU613" s="259"/>
      <c r="CV613" s="259"/>
      <c r="CW613" s="259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259"/>
      <c r="BP614" s="259"/>
      <c r="BQ614" s="259"/>
      <c r="BR614" s="259"/>
      <c r="BS614" s="259"/>
      <c r="BT614" s="259"/>
      <c r="BU614" s="259"/>
      <c r="BV614" s="259"/>
      <c r="BW614" s="259"/>
      <c r="BX614" s="259"/>
      <c r="BY614" s="259"/>
      <c r="BZ614" s="260"/>
      <c r="CA614" s="259"/>
      <c r="CB614" s="259"/>
      <c r="CC614" s="259"/>
      <c r="CD614" s="259"/>
      <c r="CE614" s="259"/>
      <c r="CF614" s="259"/>
      <c r="CG614" s="259"/>
      <c r="CH614" s="259"/>
      <c r="CI614" s="259"/>
      <c r="CJ614" s="259"/>
      <c r="CK614" s="259"/>
      <c r="CL614" s="259"/>
      <c r="CM614" s="259"/>
      <c r="CN614" s="259"/>
      <c r="CO614" s="259"/>
      <c r="CP614" s="259"/>
      <c r="CQ614" s="259"/>
      <c r="CR614" s="259"/>
      <c r="CS614" s="259"/>
      <c r="CT614" s="259"/>
      <c r="CU614" s="259"/>
      <c r="CV614" s="259"/>
      <c r="CW614" s="259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259"/>
      <c r="BP615" s="259"/>
      <c r="BQ615" s="259"/>
      <c r="BR615" s="259"/>
      <c r="BS615" s="259"/>
      <c r="BT615" s="259"/>
      <c r="BU615" s="259"/>
      <c r="BV615" s="259"/>
      <c r="BW615" s="259"/>
      <c r="BX615" s="259"/>
      <c r="BY615" s="259"/>
      <c r="BZ615" s="260"/>
      <c r="CA615" s="259"/>
      <c r="CB615" s="259"/>
      <c r="CC615" s="259"/>
      <c r="CD615" s="259"/>
      <c r="CE615" s="259"/>
      <c r="CF615" s="259"/>
      <c r="CG615" s="259"/>
      <c r="CH615" s="259"/>
      <c r="CI615" s="259"/>
      <c r="CJ615" s="259"/>
      <c r="CK615" s="259"/>
      <c r="CL615" s="259"/>
      <c r="CM615" s="259"/>
      <c r="CN615" s="259"/>
      <c r="CO615" s="259"/>
      <c r="CP615" s="259"/>
      <c r="CQ615" s="259"/>
      <c r="CR615" s="259"/>
      <c r="CS615" s="259"/>
      <c r="CT615" s="259"/>
      <c r="CU615" s="259"/>
      <c r="CV615" s="259"/>
      <c r="CW615" s="259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259"/>
      <c r="BP616" s="259"/>
      <c r="BQ616" s="259"/>
      <c r="BR616" s="259"/>
      <c r="BS616" s="259"/>
      <c r="BT616" s="259"/>
      <c r="BU616" s="259"/>
      <c r="BV616" s="259"/>
      <c r="BW616" s="259"/>
      <c r="BX616" s="259"/>
      <c r="BY616" s="259"/>
      <c r="BZ616" s="260"/>
      <c r="CA616" s="259"/>
      <c r="CB616" s="259"/>
      <c r="CC616" s="259"/>
      <c r="CD616" s="259"/>
      <c r="CE616" s="259"/>
      <c r="CF616" s="259"/>
      <c r="CG616" s="259"/>
      <c r="CH616" s="259"/>
      <c r="CI616" s="259"/>
      <c r="CJ616" s="259"/>
      <c r="CK616" s="259"/>
      <c r="CL616" s="259"/>
      <c r="CM616" s="259"/>
      <c r="CN616" s="259"/>
      <c r="CO616" s="259"/>
      <c r="CP616" s="259"/>
      <c r="CQ616" s="259"/>
      <c r="CR616" s="259"/>
      <c r="CS616" s="259"/>
      <c r="CT616" s="259"/>
      <c r="CU616" s="259"/>
      <c r="CV616" s="259"/>
      <c r="CW616" s="259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  <c r="BN617" s="30"/>
      <c r="BO617" s="259"/>
      <c r="BP617" s="259"/>
      <c r="BQ617" s="259"/>
      <c r="BR617" s="259"/>
      <c r="BS617" s="259"/>
      <c r="BT617" s="259"/>
      <c r="BU617" s="259"/>
      <c r="BV617" s="259"/>
      <c r="BW617" s="259"/>
      <c r="BX617" s="259"/>
      <c r="BY617" s="259"/>
      <c r="BZ617" s="260"/>
      <c r="CA617" s="259"/>
      <c r="CB617" s="259"/>
      <c r="CC617" s="259"/>
      <c r="CD617" s="259"/>
      <c r="CE617" s="259"/>
      <c r="CF617" s="259"/>
      <c r="CG617" s="259"/>
      <c r="CH617" s="259"/>
      <c r="CI617" s="259"/>
      <c r="CJ617" s="259"/>
      <c r="CK617" s="259"/>
      <c r="CL617" s="259"/>
      <c r="CM617" s="259"/>
      <c r="CN617" s="259"/>
      <c r="CO617" s="259"/>
      <c r="CP617" s="259"/>
      <c r="CQ617" s="259"/>
      <c r="CR617" s="259"/>
      <c r="CS617" s="259"/>
      <c r="CT617" s="259"/>
      <c r="CU617" s="259"/>
      <c r="CV617" s="259"/>
      <c r="CW617" s="259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  <c r="BN618" s="30"/>
      <c r="BO618" s="259"/>
      <c r="BP618" s="259"/>
      <c r="BQ618" s="259"/>
      <c r="BR618" s="259"/>
      <c r="BS618" s="259"/>
      <c r="BT618" s="259"/>
      <c r="BU618" s="259"/>
      <c r="BV618" s="259"/>
      <c r="BW618" s="259"/>
      <c r="BX618" s="259"/>
      <c r="BY618" s="259"/>
      <c r="BZ618" s="260"/>
      <c r="CA618" s="259"/>
      <c r="CB618" s="259"/>
      <c r="CC618" s="259"/>
      <c r="CD618" s="259"/>
      <c r="CE618" s="259"/>
      <c r="CF618" s="259"/>
      <c r="CG618" s="259"/>
      <c r="CH618" s="259"/>
      <c r="CI618" s="259"/>
      <c r="CJ618" s="259"/>
      <c r="CK618" s="259"/>
      <c r="CL618" s="259"/>
      <c r="CM618" s="259"/>
      <c r="CN618" s="259"/>
      <c r="CO618" s="259"/>
      <c r="CP618" s="259"/>
      <c r="CQ618" s="259"/>
      <c r="CR618" s="259"/>
      <c r="CS618" s="259"/>
      <c r="CT618" s="259"/>
      <c r="CU618" s="259"/>
      <c r="CV618" s="259"/>
      <c r="CW618" s="259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  <c r="BN619" s="30"/>
      <c r="BO619" s="259"/>
      <c r="BP619" s="259"/>
      <c r="BQ619" s="259"/>
      <c r="BR619" s="259"/>
      <c r="BS619" s="259"/>
      <c r="BT619" s="259"/>
      <c r="BU619" s="259"/>
      <c r="BV619" s="259"/>
      <c r="BW619" s="259"/>
      <c r="BX619" s="259"/>
      <c r="BY619" s="259"/>
      <c r="BZ619" s="260"/>
      <c r="CA619" s="259"/>
      <c r="CB619" s="259"/>
      <c r="CC619" s="259"/>
      <c r="CD619" s="259"/>
      <c r="CE619" s="259"/>
      <c r="CF619" s="259"/>
      <c r="CG619" s="259"/>
      <c r="CH619" s="259"/>
      <c r="CI619" s="259"/>
      <c r="CJ619" s="259"/>
      <c r="CK619" s="259"/>
      <c r="CL619" s="259"/>
      <c r="CM619" s="259"/>
      <c r="CN619" s="259"/>
      <c r="CO619" s="259"/>
      <c r="CP619" s="259"/>
      <c r="CQ619" s="259"/>
      <c r="CR619" s="259"/>
      <c r="CS619" s="259"/>
      <c r="CT619" s="259"/>
      <c r="CU619" s="259"/>
      <c r="CV619" s="259"/>
      <c r="CW619" s="259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  <c r="BJ620" s="30"/>
      <c r="BK620" s="30"/>
      <c r="BL620" s="30"/>
      <c r="BM620" s="30"/>
      <c r="BN620" s="30"/>
      <c r="BO620" s="259"/>
      <c r="BP620" s="259"/>
      <c r="BQ620" s="259"/>
      <c r="BR620" s="259"/>
      <c r="BS620" s="259"/>
      <c r="BT620" s="259"/>
      <c r="BU620" s="259"/>
      <c r="BV620" s="259"/>
      <c r="BW620" s="259"/>
      <c r="BX620" s="259"/>
      <c r="BY620" s="259"/>
      <c r="BZ620" s="260"/>
      <c r="CA620" s="259"/>
      <c r="CB620" s="259"/>
      <c r="CC620" s="259"/>
      <c r="CD620" s="259"/>
      <c r="CE620" s="259"/>
      <c r="CF620" s="259"/>
      <c r="CG620" s="259"/>
      <c r="CH620" s="259"/>
      <c r="CI620" s="259"/>
      <c r="CJ620" s="259"/>
      <c r="CK620" s="259"/>
      <c r="CL620" s="259"/>
      <c r="CM620" s="259"/>
      <c r="CN620" s="259"/>
      <c r="CO620" s="259"/>
      <c r="CP620" s="259"/>
      <c r="CQ620" s="259"/>
      <c r="CR620" s="259"/>
      <c r="CS620" s="259"/>
      <c r="CT620" s="259"/>
      <c r="CU620" s="259"/>
      <c r="CV620" s="259"/>
      <c r="CW620" s="259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  <c r="BN621" s="30"/>
      <c r="BO621" s="259"/>
      <c r="BP621" s="259"/>
      <c r="BQ621" s="259"/>
      <c r="BR621" s="259"/>
      <c r="BS621" s="259"/>
      <c r="BT621" s="259"/>
      <c r="BU621" s="259"/>
      <c r="BV621" s="259"/>
      <c r="BW621" s="259"/>
      <c r="BX621" s="259"/>
      <c r="BY621" s="259"/>
      <c r="BZ621" s="260"/>
      <c r="CA621" s="259"/>
      <c r="CB621" s="259"/>
      <c r="CC621" s="259"/>
      <c r="CD621" s="259"/>
      <c r="CE621" s="259"/>
      <c r="CF621" s="259"/>
      <c r="CG621" s="259"/>
      <c r="CH621" s="259"/>
      <c r="CI621" s="259"/>
      <c r="CJ621" s="259"/>
      <c r="CK621" s="259"/>
      <c r="CL621" s="259"/>
      <c r="CM621" s="259"/>
      <c r="CN621" s="259"/>
      <c r="CO621" s="259"/>
      <c r="CP621" s="259"/>
      <c r="CQ621" s="259"/>
      <c r="CR621" s="259"/>
      <c r="CS621" s="259"/>
      <c r="CT621" s="259"/>
      <c r="CU621" s="259"/>
      <c r="CV621" s="259"/>
      <c r="CW621" s="259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30"/>
      <c r="BL622" s="30"/>
      <c r="BM622" s="30"/>
      <c r="BN622" s="30"/>
      <c r="BO622" s="259"/>
      <c r="BP622" s="259"/>
      <c r="BQ622" s="259"/>
      <c r="BR622" s="259"/>
      <c r="BS622" s="259"/>
      <c r="BT622" s="259"/>
      <c r="BU622" s="259"/>
      <c r="BV622" s="259"/>
      <c r="BW622" s="259"/>
      <c r="BX622" s="259"/>
      <c r="BY622" s="259"/>
      <c r="BZ622" s="260"/>
      <c r="CA622" s="259"/>
      <c r="CB622" s="259"/>
      <c r="CC622" s="259"/>
      <c r="CD622" s="259"/>
      <c r="CE622" s="259"/>
      <c r="CF622" s="259"/>
      <c r="CG622" s="259"/>
      <c r="CH622" s="259"/>
      <c r="CI622" s="259"/>
      <c r="CJ622" s="259"/>
      <c r="CK622" s="259"/>
      <c r="CL622" s="259"/>
      <c r="CM622" s="259"/>
      <c r="CN622" s="259"/>
      <c r="CO622" s="259"/>
      <c r="CP622" s="259"/>
      <c r="CQ622" s="259"/>
      <c r="CR622" s="259"/>
      <c r="CS622" s="259"/>
      <c r="CT622" s="259"/>
      <c r="CU622" s="259"/>
      <c r="CV622" s="259"/>
      <c r="CW622" s="259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30"/>
      <c r="BN623" s="30"/>
      <c r="BO623" s="259"/>
      <c r="BP623" s="259"/>
      <c r="BQ623" s="259"/>
      <c r="BR623" s="259"/>
      <c r="BS623" s="259"/>
      <c r="BT623" s="259"/>
      <c r="BU623" s="259"/>
      <c r="BV623" s="259"/>
      <c r="BW623" s="259"/>
      <c r="BX623" s="259"/>
      <c r="BY623" s="259"/>
      <c r="BZ623" s="260"/>
      <c r="CA623" s="259"/>
      <c r="CB623" s="259"/>
      <c r="CC623" s="259"/>
      <c r="CD623" s="259"/>
      <c r="CE623" s="259"/>
      <c r="CF623" s="259"/>
      <c r="CG623" s="259"/>
      <c r="CH623" s="259"/>
      <c r="CI623" s="259"/>
      <c r="CJ623" s="259"/>
      <c r="CK623" s="259"/>
      <c r="CL623" s="259"/>
      <c r="CM623" s="259"/>
      <c r="CN623" s="259"/>
      <c r="CO623" s="259"/>
      <c r="CP623" s="259"/>
      <c r="CQ623" s="259"/>
      <c r="CR623" s="259"/>
      <c r="CS623" s="259"/>
      <c r="CT623" s="259"/>
      <c r="CU623" s="259"/>
      <c r="CV623" s="259"/>
      <c r="CW623" s="259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30"/>
      <c r="BL624" s="30"/>
      <c r="BM624" s="30"/>
      <c r="BN624" s="30"/>
      <c r="BO624" s="259"/>
      <c r="BP624" s="259"/>
      <c r="BQ624" s="259"/>
      <c r="BR624" s="259"/>
      <c r="BS624" s="259"/>
      <c r="BT624" s="259"/>
      <c r="BU624" s="259"/>
      <c r="BV624" s="259"/>
      <c r="BW624" s="259"/>
      <c r="BX624" s="259"/>
      <c r="BY624" s="259"/>
      <c r="BZ624" s="260"/>
      <c r="CA624" s="259"/>
      <c r="CB624" s="259"/>
      <c r="CC624" s="259"/>
      <c r="CD624" s="259"/>
      <c r="CE624" s="259"/>
      <c r="CF624" s="259"/>
      <c r="CG624" s="259"/>
      <c r="CH624" s="259"/>
      <c r="CI624" s="259"/>
      <c r="CJ624" s="259"/>
      <c r="CK624" s="259"/>
      <c r="CL624" s="259"/>
      <c r="CM624" s="259"/>
      <c r="CN624" s="259"/>
      <c r="CO624" s="259"/>
      <c r="CP624" s="259"/>
      <c r="CQ624" s="259"/>
      <c r="CR624" s="259"/>
      <c r="CS624" s="259"/>
      <c r="CT624" s="259"/>
      <c r="CU624" s="259"/>
      <c r="CV624" s="259"/>
      <c r="CW624" s="259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  <c r="BJ625" s="30"/>
      <c r="BK625" s="30"/>
      <c r="BL625" s="30"/>
      <c r="BM625" s="30"/>
      <c r="BN625" s="30"/>
      <c r="BO625" s="259"/>
      <c r="BP625" s="259"/>
      <c r="BQ625" s="259"/>
      <c r="BR625" s="259"/>
      <c r="BS625" s="259"/>
      <c r="BT625" s="259"/>
      <c r="BU625" s="259"/>
      <c r="BV625" s="259"/>
      <c r="BW625" s="259"/>
      <c r="BX625" s="259"/>
      <c r="BY625" s="259"/>
      <c r="BZ625" s="260"/>
      <c r="CA625" s="259"/>
      <c r="CB625" s="259"/>
      <c r="CC625" s="259"/>
      <c r="CD625" s="259"/>
      <c r="CE625" s="259"/>
      <c r="CF625" s="259"/>
      <c r="CG625" s="259"/>
      <c r="CH625" s="259"/>
      <c r="CI625" s="259"/>
      <c r="CJ625" s="259"/>
      <c r="CK625" s="259"/>
      <c r="CL625" s="259"/>
      <c r="CM625" s="259"/>
      <c r="CN625" s="259"/>
      <c r="CO625" s="259"/>
      <c r="CP625" s="259"/>
      <c r="CQ625" s="259"/>
      <c r="CR625" s="259"/>
      <c r="CS625" s="259"/>
      <c r="CT625" s="259"/>
      <c r="CU625" s="259"/>
      <c r="CV625" s="259"/>
      <c r="CW625" s="259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30"/>
      <c r="BL626" s="30"/>
      <c r="BM626" s="30"/>
      <c r="BN626" s="30"/>
      <c r="BO626" s="259"/>
      <c r="BP626" s="259"/>
      <c r="BQ626" s="259"/>
      <c r="BR626" s="259"/>
      <c r="BS626" s="259"/>
      <c r="BT626" s="259"/>
      <c r="BU626" s="259"/>
      <c r="BV626" s="259"/>
      <c r="BW626" s="259"/>
      <c r="BX626" s="259"/>
      <c r="BY626" s="259"/>
      <c r="BZ626" s="260"/>
      <c r="CA626" s="259"/>
      <c r="CB626" s="259"/>
      <c r="CC626" s="259"/>
      <c r="CD626" s="259"/>
      <c r="CE626" s="259"/>
      <c r="CF626" s="259"/>
      <c r="CG626" s="259"/>
      <c r="CH626" s="259"/>
      <c r="CI626" s="259"/>
      <c r="CJ626" s="259"/>
      <c r="CK626" s="259"/>
      <c r="CL626" s="259"/>
      <c r="CM626" s="259"/>
      <c r="CN626" s="259"/>
      <c r="CO626" s="259"/>
      <c r="CP626" s="259"/>
      <c r="CQ626" s="259"/>
      <c r="CR626" s="259"/>
      <c r="CS626" s="259"/>
      <c r="CT626" s="259"/>
      <c r="CU626" s="259"/>
      <c r="CV626" s="259"/>
      <c r="CW626" s="259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30"/>
      <c r="BN627" s="30"/>
      <c r="BO627" s="259"/>
      <c r="BP627" s="259"/>
      <c r="BQ627" s="259"/>
      <c r="BR627" s="259"/>
      <c r="BS627" s="259"/>
      <c r="BT627" s="259"/>
      <c r="BU627" s="259"/>
      <c r="BV627" s="259"/>
      <c r="BW627" s="259"/>
      <c r="BX627" s="259"/>
      <c r="BY627" s="259"/>
      <c r="BZ627" s="260"/>
      <c r="CA627" s="259"/>
      <c r="CB627" s="259"/>
      <c r="CC627" s="259"/>
      <c r="CD627" s="259"/>
      <c r="CE627" s="259"/>
      <c r="CF627" s="259"/>
      <c r="CG627" s="259"/>
      <c r="CH627" s="259"/>
      <c r="CI627" s="259"/>
      <c r="CJ627" s="259"/>
      <c r="CK627" s="259"/>
      <c r="CL627" s="259"/>
      <c r="CM627" s="259"/>
      <c r="CN627" s="259"/>
      <c r="CO627" s="259"/>
      <c r="CP627" s="259"/>
      <c r="CQ627" s="259"/>
      <c r="CR627" s="259"/>
      <c r="CS627" s="259"/>
      <c r="CT627" s="259"/>
      <c r="CU627" s="259"/>
      <c r="CV627" s="259"/>
      <c r="CW627" s="259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30"/>
      <c r="BN628" s="30"/>
      <c r="BO628" s="259"/>
      <c r="BP628" s="259"/>
      <c r="BQ628" s="259"/>
      <c r="BR628" s="259"/>
      <c r="BS628" s="259"/>
      <c r="BT628" s="259"/>
      <c r="BU628" s="259"/>
      <c r="BV628" s="259"/>
      <c r="BW628" s="259"/>
      <c r="BX628" s="259"/>
      <c r="BY628" s="259"/>
      <c r="BZ628" s="260"/>
      <c r="CA628" s="259"/>
      <c r="CB628" s="259"/>
      <c r="CC628" s="259"/>
      <c r="CD628" s="259"/>
      <c r="CE628" s="259"/>
      <c r="CF628" s="259"/>
      <c r="CG628" s="259"/>
      <c r="CH628" s="259"/>
      <c r="CI628" s="259"/>
      <c r="CJ628" s="259"/>
      <c r="CK628" s="259"/>
      <c r="CL628" s="259"/>
      <c r="CM628" s="259"/>
      <c r="CN628" s="259"/>
      <c r="CO628" s="259"/>
      <c r="CP628" s="259"/>
      <c r="CQ628" s="259"/>
      <c r="CR628" s="259"/>
      <c r="CS628" s="259"/>
      <c r="CT628" s="259"/>
      <c r="CU628" s="259"/>
      <c r="CV628" s="259"/>
      <c r="CW628" s="259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30"/>
      <c r="BL629" s="30"/>
      <c r="BM629" s="30"/>
      <c r="BN629" s="30"/>
      <c r="BO629" s="259"/>
      <c r="BP629" s="259"/>
      <c r="BQ629" s="259"/>
      <c r="BR629" s="259"/>
      <c r="BS629" s="259"/>
      <c r="BT629" s="259"/>
      <c r="BU629" s="259"/>
      <c r="BV629" s="259"/>
      <c r="BW629" s="259"/>
      <c r="BX629" s="259"/>
      <c r="BY629" s="259"/>
      <c r="BZ629" s="260"/>
      <c r="CA629" s="259"/>
      <c r="CB629" s="259"/>
      <c r="CC629" s="259"/>
      <c r="CD629" s="259"/>
      <c r="CE629" s="259"/>
      <c r="CF629" s="259"/>
      <c r="CG629" s="259"/>
      <c r="CH629" s="259"/>
      <c r="CI629" s="259"/>
      <c r="CJ629" s="259"/>
      <c r="CK629" s="259"/>
      <c r="CL629" s="259"/>
      <c r="CM629" s="259"/>
      <c r="CN629" s="259"/>
      <c r="CO629" s="259"/>
      <c r="CP629" s="259"/>
      <c r="CQ629" s="259"/>
      <c r="CR629" s="259"/>
      <c r="CS629" s="259"/>
      <c r="CT629" s="259"/>
      <c r="CU629" s="259"/>
      <c r="CV629" s="259"/>
      <c r="CW629" s="259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  <c r="BJ630" s="30"/>
      <c r="BK630" s="30"/>
      <c r="BL630" s="30"/>
      <c r="BM630" s="30"/>
      <c r="BN630" s="30"/>
      <c r="BO630" s="259"/>
      <c r="BP630" s="259"/>
      <c r="BQ630" s="259"/>
      <c r="BR630" s="259"/>
      <c r="BS630" s="259"/>
      <c r="BT630" s="259"/>
      <c r="BU630" s="259"/>
      <c r="BV630" s="259"/>
      <c r="BW630" s="259"/>
      <c r="BX630" s="259"/>
      <c r="BY630" s="259"/>
      <c r="BZ630" s="260"/>
      <c r="CA630" s="259"/>
      <c r="CB630" s="259"/>
      <c r="CC630" s="259"/>
      <c r="CD630" s="259"/>
      <c r="CE630" s="259"/>
      <c r="CF630" s="259"/>
      <c r="CG630" s="259"/>
      <c r="CH630" s="259"/>
      <c r="CI630" s="259"/>
      <c r="CJ630" s="259"/>
      <c r="CK630" s="259"/>
      <c r="CL630" s="259"/>
      <c r="CM630" s="259"/>
      <c r="CN630" s="259"/>
      <c r="CO630" s="259"/>
      <c r="CP630" s="259"/>
      <c r="CQ630" s="259"/>
      <c r="CR630" s="259"/>
      <c r="CS630" s="259"/>
      <c r="CT630" s="259"/>
      <c r="CU630" s="259"/>
      <c r="CV630" s="259"/>
      <c r="CW630" s="259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0"/>
      <c r="BI631" s="30"/>
      <c r="BJ631" s="30"/>
      <c r="BK631" s="30"/>
      <c r="BL631" s="30"/>
      <c r="BM631" s="30"/>
      <c r="BN631" s="30"/>
      <c r="BO631" s="259"/>
      <c r="BP631" s="259"/>
      <c r="BQ631" s="259"/>
      <c r="BR631" s="259"/>
      <c r="BS631" s="259"/>
      <c r="BT631" s="259"/>
      <c r="BU631" s="259"/>
      <c r="BV631" s="259"/>
      <c r="BW631" s="259"/>
      <c r="BX631" s="259"/>
      <c r="BY631" s="259"/>
      <c r="BZ631" s="260"/>
      <c r="CA631" s="259"/>
      <c r="CB631" s="259"/>
      <c r="CC631" s="259"/>
      <c r="CD631" s="259"/>
      <c r="CE631" s="259"/>
      <c r="CF631" s="259"/>
      <c r="CG631" s="259"/>
      <c r="CH631" s="259"/>
      <c r="CI631" s="259"/>
      <c r="CJ631" s="259"/>
      <c r="CK631" s="259"/>
      <c r="CL631" s="259"/>
      <c r="CM631" s="259"/>
      <c r="CN631" s="259"/>
      <c r="CO631" s="259"/>
      <c r="CP631" s="259"/>
      <c r="CQ631" s="259"/>
      <c r="CR631" s="259"/>
      <c r="CS631" s="259"/>
      <c r="CT631" s="259"/>
      <c r="CU631" s="259"/>
      <c r="CV631" s="259"/>
      <c r="CW631" s="259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30"/>
      <c r="BL632" s="30"/>
      <c r="BM632" s="30"/>
      <c r="BN632" s="30"/>
      <c r="BO632" s="259"/>
      <c r="BP632" s="259"/>
      <c r="BQ632" s="259"/>
      <c r="BR632" s="259"/>
      <c r="BS632" s="259"/>
      <c r="BT632" s="259"/>
      <c r="BU632" s="259"/>
      <c r="BV632" s="259"/>
      <c r="BW632" s="259"/>
      <c r="BX632" s="259"/>
      <c r="BY632" s="259"/>
      <c r="BZ632" s="260"/>
      <c r="CA632" s="259"/>
      <c r="CB632" s="259"/>
      <c r="CC632" s="259"/>
      <c r="CD632" s="259"/>
      <c r="CE632" s="259"/>
      <c r="CF632" s="259"/>
      <c r="CG632" s="259"/>
      <c r="CH632" s="259"/>
      <c r="CI632" s="259"/>
      <c r="CJ632" s="259"/>
      <c r="CK632" s="259"/>
      <c r="CL632" s="259"/>
      <c r="CM632" s="259"/>
      <c r="CN632" s="259"/>
      <c r="CO632" s="259"/>
      <c r="CP632" s="259"/>
      <c r="CQ632" s="259"/>
      <c r="CR632" s="259"/>
      <c r="CS632" s="259"/>
      <c r="CT632" s="259"/>
      <c r="CU632" s="259"/>
      <c r="CV632" s="259"/>
      <c r="CW632" s="259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  <c r="BN633" s="30"/>
      <c r="BO633" s="259"/>
      <c r="BP633" s="259"/>
      <c r="BQ633" s="259"/>
      <c r="BR633" s="259"/>
      <c r="BS633" s="259"/>
      <c r="BT633" s="259"/>
      <c r="BU633" s="259"/>
      <c r="BV633" s="259"/>
      <c r="BW633" s="259"/>
      <c r="BX633" s="259"/>
      <c r="BY633" s="259"/>
      <c r="BZ633" s="260"/>
      <c r="CA633" s="259"/>
      <c r="CB633" s="259"/>
      <c r="CC633" s="259"/>
      <c r="CD633" s="259"/>
      <c r="CE633" s="259"/>
      <c r="CF633" s="259"/>
      <c r="CG633" s="259"/>
      <c r="CH633" s="259"/>
      <c r="CI633" s="259"/>
      <c r="CJ633" s="259"/>
      <c r="CK633" s="259"/>
      <c r="CL633" s="259"/>
      <c r="CM633" s="259"/>
      <c r="CN633" s="259"/>
      <c r="CO633" s="259"/>
      <c r="CP633" s="259"/>
      <c r="CQ633" s="259"/>
      <c r="CR633" s="259"/>
      <c r="CS633" s="259"/>
      <c r="CT633" s="259"/>
      <c r="CU633" s="259"/>
      <c r="CV633" s="259"/>
      <c r="CW633" s="259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30"/>
      <c r="BL634" s="30"/>
      <c r="BM634" s="30"/>
      <c r="BN634" s="30"/>
      <c r="BO634" s="259"/>
      <c r="BP634" s="259"/>
      <c r="BQ634" s="259"/>
      <c r="BR634" s="259"/>
      <c r="BS634" s="259"/>
      <c r="BT634" s="259"/>
      <c r="BU634" s="259"/>
      <c r="BV634" s="259"/>
      <c r="BW634" s="259"/>
      <c r="BX634" s="259"/>
      <c r="BY634" s="259"/>
      <c r="BZ634" s="260"/>
      <c r="CA634" s="259"/>
      <c r="CB634" s="259"/>
      <c r="CC634" s="259"/>
      <c r="CD634" s="259"/>
      <c r="CE634" s="259"/>
      <c r="CF634" s="259"/>
      <c r="CG634" s="259"/>
      <c r="CH634" s="259"/>
      <c r="CI634" s="259"/>
      <c r="CJ634" s="259"/>
      <c r="CK634" s="259"/>
      <c r="CL634" s="259"/>
      <c r="CM634" s="259"/>
      <c r="CN634" s="259"/>
      <c r="CO634" s="259"/>
      <c r="CP634" s="259"/>
      <c r="CQ634" s="259"/>
      <c r="CR634" s="259"/>
      <c r="CS634" s="259"/>
      <c r="CT634" s="259"/>
      <c r="CU634" s="259"/>
      <c r="CV634" s="259"/>
      <c r="CW634" s="259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30"/>
      <c r="BL635" s="30"/>
      <c r="BM635" s="30"/>
      <c r="BN635" s="30"/>
      <c r="BO635" s="259"/>
      <c r="BP635" s="259"/>
      <c r="BQ635" s="259"/>
      <c r="BR635" s="259"/>
      <c r="BS635" s="259"/>
      <c r="BT635" s="259"/>
      <c r="BU635" s="259"/>
      <c r="BV635" s="259"/>
      <c r="BW635" s="259"/>
      <c r="BX635" s="259"/>
      <c r="BY635" s="259"/>
      <c r="BZ635" s="260"/>
      <c r="CA635" s="259"/>
      <c r="CB635" s="259"/>
      <c r="CC635" s="259"/>
      <c r="CD635" s="259"/>
      <c r="CE635" s="259"/>
      <c r="CF635" s="259"/>
      <c r="CG635" s="259"/>
      <c r="CH635" s="259"/>
      <c r="CI635" s="259"/>
      <c r="CJ635" s="259"/>
      <c r="CK635" s="259"/>
      <c r="CL635" s="259"/>
      <c r="CM635" s="259"/>
      <c r="CN635" s="259"/>
      <c r="CO635" s="259"/>
      <c r="CP635" s="259"/>
      <c r="CQ635" s="259"/>
      <c r="CR635" s="259"/>
      <c r="CS635" s="259"/>
      <c r="CT635" s="259"/>
      <c r="CU635" s="259"/>
      <c r="CV635" s="259"/>
      <c r="CW635" s="259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  <c r="BJ636" s="30"/>
      <c r="BK636" s="30"/>
      <c r="BL636" s="30"/>
      <c r="BM636" s="30"/>
      <c r="BN636" s="30"/>
      <c r="BO636" s="259"/>
      <c r="BP636" s="259"/>
      <c r="BQ636" s="259"/>
      <c r="BR636" s="259"/>
      <c r="BS636" s="259"/>
      <c r="BT636" s="259"/>
      <c r="BU636" s="259"/>
      <c r="BV636" s="259"/>
      <c r="BW636" s="259"/>
      <c r="BX636" s="259"/>
      <c r="BY636" s="259"/>
      <c r="BZ636" s="260"/>
      <c r="CA636" s="259"/>
      <c r="CB636" s="259"/>
      <c r="CC636" s="259"/>
      <c r="CD636" s="259"/>
      <c r="CE636" s="259"/>
      <c r="CF636" s="259"/>
      <c r="CG636" s="259"/>
      <c r="CH636" s="259"/>
      <c r="CI636" s="259"/>
      <c r="CJ636" s="259"/>
      <c r="CK636" s="259"/>
      <c r="CL636" s="259"/>
      <c r="CM636" s="259"/>
      <c r="CN636" s="259"/>
      <c r="CO636" s="259"/>
      <c r="CP636" s="259"/>
      <c r="CQ636" s="259"/>
      <c r="CR636" s="259"/>
      <c r="CS636" s="259"/>
      <c r="CT636" s="259"/>
      <c r="CU636" s="259"/>
      <c r="CV636" s="259"/>
      <c r="CW636" s="259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30"/>
      <c r="BI637" s="30"/>
      <c r="BJ637" s="30"/>
      <c r="BK637" s="30"/>
      <c r="BL637" s="30"/>
      <c r="BM637" s="30"/>
      <c r="BN637" s="30"/>
      <c r="BO637" s="259"/>
      <c r="BP637" s="259"/>
      <c r="BQ637" s="259"/>
      <c r="BR637" s="259"/>
      <c r="BS637" s="259"/>
      <c r="BT637" s="259"/>
      <c r="BU637" s="259"/>
      <c r="BV637" s="259"/>
      <c r="BW637" s="259"/>
      <c r="BX637" s="259"/>
      <c r="BY637" s="259"/>
      <c r="BZ637" s="260"/>
      <c r="CA637" s="259"/>
      <c r="CB637" s="259"/>
      <c r="CC637" s="259"/>
      <c r="CD637" s="259"/>
      <c r="CE637" s="259"/>
      <c r="CF637" s="259"/>
      <c r="CG637" s="259"/>
      <c r="CH637" s="259"/>
      <c r="CI637" s="259"/>
      <c r="CJ637" s="259"/>
      <c r="CK637" s="259"/>
      <c r="CL637" s="259"/>
      <c r="CM637" s="259"/>
      <c r="CN637" s="259"/>
      <c r="CO637" s="259"/>
      <c r="CP637" s="259"/>
      <c r="CQ637" s="259"/>
      <c r="CR637" s="259"/>
      <c r="CS637" s="259"/>
      <c r="CT637" s="259"/>
      <c r="CU637" s="259"/>
      <c r="CV637" s="259"/>
      <c r="CW637" s="259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  <c r="BJ638" s="30"/>
      <c r="BK638" s="30"/>
      <c r="BL638" s="30"/>
      <c r="BM638" s="30"/>
      <c r="BN638" s="30"/>
      <c r="BO638" s="259"/>
      <c r="BP638" s="259"/>
      <c r="BQ638" s="259"/>
      <c r="BR638" s="259"/>
      <c r="BS638" s="259"/>
      <c r="BT638" s="259"/>
      <c r="BU638" s="259"/>
      <c r="BV638" s="259"/>
      <c r="BW638" s="259"/>
      <c r="BX638" s="259"/>
      <c r="BY638" s="259"/>
      <c r="BZ638" s="260"/>
      <c r="CA638" s="259"/>
      <c r="CB638" s="259"/>
      <c r="CC638" s="259"/>
      <c r="CD638" s="259"/>
      <c r="CE638" s="259"/>
      <c r="CF638" s="259"/>
      <c r="CG638" s="259"/>
      <c r="CH638" s="259"/>
      <c r="CI638" s="259"/>
      <c r="CJ638" s="259"/>
      <c r="CK638" s="259"/>
      <c r="CL638" s="259"/>
      <c r="CM638" s="259"/>
      <c r="CN638" s="259"/>
      <c r="CO638" s="259"/>
      <c r="CP638" s="259"/>
      <c r="CQ638" s="259"/>
      <c r="CR638" s="259"/>
      <c r="CS638" s="259"/>
      <c r="CT638" s="259"/>
      <c r="CU638" s="259"/>
      <c r="CV638" s="259"/>
      <c r="CW638" s="259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30"/>
      <c r="BI639" s="30"/>
      <c r="BJ639" s="30"/>
      <c r="BK639" s="30"/>
      <c r="BL639" s="30"/>
      <c r="BM639" s="30"/>
      <c r="BN639" s="30"/>
      <c r="BO639" s="259"/>
      <c r="BP639" s="259"/>
      <c r="BQ639" s="259"/>
      <c r="BR639" s="259"/>
      <c r="BS639" s="259"/>
      <c r="BT639" s="259"/>
      <c r="BU639" s="259"/>
      <c r="BV639" s="259"/>
      <c r="BW639" s="259"/>
      <c r="BX639" s="259"/>
      <c r="BY639" s="259"/>
      <c r="BZ639" s="260"/>
      <c r="CA639" s="259"/>
      <c r="CB639" s="259"/>
      <c r="CC639" s="259"/>
      <c r="CD639" s="259"/>
      <c r="CE639" s="259"/>
      <c r="CF639" s="259"/>
      <c r="CG639" s="259"/>
      <c r="CH639" s="259"/>
      <c r="CI639" s="259"/>
      <c r="CJ639" s="259"/>
      <c r="CK639" s="259"/>
      <c r="CL639" s="259"/>
      <c r="CM639" s="259"/>
      <c r="CN639" s="259"/>
      <c r="CO639" s="259"/>
      <c r="CP639" s="259"/>
      <c r="CQ639" s="259"/>
      <c r="CR639" s="259"/>
      <c r="CS639" s="259"/>
      <c r="CT639" s="259"/>
      <c r="CU639" s="259"/>
      <c r="CV639" s="259"/>
      <c r="CW639" s="259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  <c r="BI640" s="30"/>
      <c r="BJ640" s="30"/>
      <c r="BK640" s="30"/>
      <c r="BL640" s="30"/>
      <c r="BM640" s="30"/>
      <c r="BN640" s="30"/>
      <c r="BO640" s="259"/>
      <c r="BP640" s="259"/>
      <c r="BQ640" s="259"/>
      <c r="BR640" s="259"/>
      <c r="BS640" s="259"/>
      <c r="BT640" s="259"/>
      <c r="BU640" s="259"/>
      <c r="BV640" s="259"/>
      <c r="BW640" s="259"/>
      <c r="BX640" s="259"/>
      <c r="BY640" s="259"/>
      <c r="BZ640" s="260"/>
      <c r="CA640" s="259"/>
      <c r="CB640" s="259"/>
      <c r="CC640" s="259"/>
      <c r="CD640" s="259"/>
      <c r="CE640" s="259"/>
      <c r="CF640" s="259"/>
      <c r="CG640" s="259"/>
      <c r="CH640" s="259"/>
      <c r="CI640" s="259"/>
      <c r="CJ640" s="259"/>
      <c r="CK640" s="259"/>
      <c r="CL640" s="259"/>
      <c r="CM640" s="259"/>
      <c r="CN640" s="259"/>
      <c r="CO640" s="259"/>
      <c r="CP640" s="259"/>
      <c r="CQ640" s="259"/>
      <c r="CR640" s="259"/>
      <c r="CS640" s="259"/>
      <c r="CT640" s="259"/>
      <c r="CU640" s="259"/>
      <c r="CV640" s="259"/>
      <c r="CW640" s="259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  <c r="BI641" s="30"/>
      <c r="BJ641" s="30"/>
      <c r="BK641" s="30"/>
      <c r="BL641" s="30"/>
      <c r="BM641" s="30"/>
      <c r="BN641" s="30"/>
      <c r="BO641" s="259"/>
      <c r="BP641" s="259"/>
      <c r="BQ641" s="259"/>
      <c r="BR641" s="259"/>
      <c r="BS641" s="259"/>
      <c r="BT641" s="259"/>
      <c r="BU641" s="259"/>
      <c r="BV641" s="259"/>
      <c r="BW641" s="259"/>
      <c r="BX641" s="259"/>
      <c r="BY641" s="259"/>
      <c r="BZ641" s="260"/>
      <c r="CA641" s="259"/>
      <c r="CB641" s="259"/>
      <c r="CC641" s="259"/>
      <c r="CD641" s="259"/>
      <c r="CE641" s="259"/>
      <c r="CF641" s="259"/>
      <c r="CG641" s="259"/>
      <c r="CH641" s="259"/>
      <c r="CI641" s="259"/>
      <c r="CJ641" s="259"/>
      <c r="CK641" s="259"/>
      <c r="CL641" s="259"/>
      <c r="CM641" s="259"/>
      <c r="CN641" s="259"/>
      <c r="CO641" s="259"/>
      <c r="CP641" s="259"/>
      <c r="CQ641" s="259"/>
      <c r="CR641" s="259"/>
      <c r="CS641" s="259"/>
      <c r="CT641" s="259"/>
      <c r="CU641" s="259"/>
      <c r="CV641" s="259"/>
      <c r="CW641" s="259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  <c r="BJ642" s="30"/>
      <c r="BK642" s="30"/>
      <c r="BL642" s="30"/>
      <c r="BM642" s="30"/>
      <c r="BN642" s="30"/>
      <c r="BO642" s="259"/>
      <c r="BP642" s="259"/>
      <c r="BQ642" s="259"/>
      <c r="BR642" s="259"/>
      <c r="BS642" s="259"/>
      <c r="BT642" s="259"/>
      <c r="BU642" s="259"/>
      <c r="BV642" s="259"/>
      <c r="BW642" s="259"/>
      <c r="BX642" s="259"/>
      <c r="BY642" s="259"/>
      <c r="BZ642" s="260"/>
      <c r="CA642" s="259"/>
      <c r="CB642" s="259"/>
      <c r="CC642" s="259"/>
      <c r="CD642" s="259"/>
      <c r="CE642" s="259"/>
      <c r="CF642" s="259"/>
      <c r="CG642" s="259"/>
      <c r="CH642" s="259"/>
      <c r="CI642" s="259"/>
      <c r="CJ642" s="259"/>
      <c r="CK642" s="259"/>
      <c r="CL642" s="259"/>
      <c r="CM642" s="259"/>
      <c r="CN642" s="259"/>
      <c r="CO642" s="259"/>
      <c r="CP642" s="259"/>
      <c r="CQ642" s="259"/>
      <c r="CR642" s="259"/>
      <c r="CS642" s="259"/>
      <c r="CT642" s="259"/>
      <c r="CU642" s="259"/>
      <c r="CV642" s="259"/>
      <c r="CW642" s="259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/>
      <c r="BI643" s="30"/>
      <c r="BJ643" s="30"/>
      <c r="BK643" s="30"/>
      <c r="BL643" s="30"/>
      <c r="BM643" s="30"/>
      <c r="BN643" s="30"/>
      <c r="BO643" s="259"/>
      <c r="BP643" s="259"/>
      <c r="BQ643" s="259"/>
      <c r="BR643" s="259"/>
      <c r="BS643" s="259"/>
      <c r="BT643" s="259"/>
      <c r="BU643" s="259"/>
      <c r="BV643" s="259"/>
      <c r="BW643" s="259"/>
      <c r="BX643" s="259"/>
      <c r="BY643" s="259"/>
      <c r="BZ643" s="260"/>
      <c r="CA643" s="259"/>
      <c r="CB643" s="259"/>
      <c r="CC643" s="259"/>
      <c r="CD643" s="259"/>
      <c r="CE643" s="259"/>
      <c r="CF643" s="259"/>
      <c r="CG643" s="259"/>
      <c r="CH643" s="259"/>
      <c r="CI643" s="259"/>
      <c r="CJ643" s="259"/>
      <c r="CK643" s="259"/>
      <c r="CL643" s="259"/>
      <c r="CM643" s="259"/>
      <c r="CN643" s="259"/>
      <c r="CO643" s="259"/>
      <c r="CP643" s="259"/>
      <c r="CQ643" s="259"/>
      <c r="CR643" s="259"/>
      <c r="CS643" s="259"/>
      <c r="CT643" s="259"/>
      <c r="CU643" s="259"/>
      <c r="CV643" s="259"/>
      <c r="CW643" s="259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  <c r="BI644" s="30"/>
      <c r="BJ644" s="30"/>
      <c r="BK644" s="30"/>
      <c r="BL644" s="30"/>
      <c r="BM644" s="30"/>
      <c r="BN644" s="30"/>
      <c r="BO644" s="259"/>
      <c r="BP644" s="259"/>
      <c r="BQ644" s="259"/>
      <c r="BR644" s="259"/>
      <c r="BS644" s="259"/>
      <c r="BT644" s="259"/>
      <c r="BU644" s="259"/>
      <c r="BV644" s="259"/>
      <c r="BW644" s="259"/>
      <c r="BX644" s="259"/>
      <c r="BY644" s="259"/>
      <c r="BZ644" s="260"/>
      <c r="CA644" s="259"/>
      <c r="CB644" s="259"/>
      <c r="CC644" s="259"/>
      <c r="CD644" s="259"/>
      <c r="CE644" s="259"/>
      <c r="CF644" s="259"/>
      <c r="CG644" s="259"/>
      <c r="CH644" s="259"/>
      <c r="CI644" s="259"/>
      <c r="CJ644" s="259"/>
      <c r="CK644" s="259"/>
      <c r="CL644" s="259"/>
      <c r="CM644" s="259"/>
      <c r="CN644" s="259"/>
      <c r="CO644" s="259"/>
      <c r="CP644" s="259"/>
      <c r="CQ644" s="259"/>
      <c r="CR644" s="259"/>
      <c r="CS644" s="259"/>
      <c r="CT644" s="259"/>
      <c r="CU644" s="259"/>
      <c r="CV644" s="259"/>
      <c r="CW644" s="259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0"/>
      <c r="BI645" s="30"/>
      <c r="BJ645" s="30"/>
      <c r="BK645" s="30"/>
      <c r="BL645" s="30"/>
      <c r="BM645" s="30"/>
      <c r="BN645" s="30"/>
      <c r="BO645" s="259"/>
      <c r="BP645" s="259"/>
      <c r="BQ645" s="259"/>
      <c r="BR645" s="259"/>
      <c r="BS645" s="259"/>
      <c r="BT645" s="259"/>
      <c r="BU645" s="259"/>
      <c r="BV645" s="259"/>
      <c r="BW645" s="259"/>
      <c r="BX645" s="259"/>
      <c r="BY645" s="259"/>
      <c r="BZ645" s="260"/>
      <c r="CA645" s="259"/>
      <c r="CB645" s="259"/>
      <c r="CC645" s="259"/>
      <c r="CD645" s="259"/>
      <c r="CE645" s="259"/>
      <c r="CF645" s="259"/>
      <c r="CG645" s="259"/>
      <c r="CH645" s="259"/>
      <c r="CI645" s="259"/>
      <c r="CJ645" s="259"/>
      <c r="CK645" s="259"/>
      <c r="CL645" s="259"/>
      <c r="CM645" s="259"/>
      <c r="CN645" s="259"/>
      <c r="CO645" s="259"/>
      <c r="CP645" s="259"/>
      <c r="CQ645" s="259"/>
      <c r="CR645" s="259"/>
      <c r="CS645" s="259"/>
      <c r="CT645" s="259"/>
      <c r="CU645" s="259"/>
      <c r="CV645" s="259"/>
      <c r="CW645" s="259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  <c r="BJ646" s="30"/>
      <c r="BK646" s="30"/>
      <c r="BL646" s="30"/>
      <c r="BM646" s="30"/>
      <c r="BN646" s="30"/>
      <c r="BO646" s="259"/>
      <c r="BP646" s="259"/>
      <c r="BQ646" s="259"/>
      <c r="BR646" s="259"/>
      <c r="BS646" s="259"/>
      <c r="BT646" s="259"/>
      <c r="BU646" s="259"/>
      <c r="BV646" s="259"/>
      <c r="BW646" s="259"/>
      <c r="BX646" s="259"/>
      <c r="BY646" s="259"/>
      <c r="BZ646" s="260"/>
      <c r="CA646" s="259"/>
      <c r="CB646" s="259"/>
      <c r="CC646" s="259"/>
      <c r="CD646" s="259"/>
      <c r="CE646" s="259"/>
      <c r="CF646" s="259"/>
      <c r="CG646" s="259"/>
      <c r="CH646" s="259"/>
      <c r="CI646" s="259"/>
      <c r="CJ646" s="259"/>
      <c r="CK646" s="259"/>
      <c r="CL646" s="259"/>
      <c r="CM646" s="259"/>
      <c r="CN646" s="259"/>
      <c r="CO646" s="259"/>
      <c r="CP646" s="259"/>
      <c r="CQ646" s="259"/>
      <c r="CR646" s="259"/>
      <c r="CS646" s="259"/>
      <c r="CT646" s="259"/>
      <c r="CU646" s="259"/>
      <c r="CV646" s="259"/>
      <c r="CW646" s="259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  <c r="BJ647" s="30"/>
      <c r="BK647" s="30"/>
      <c r="BL647" s="30"/>
      <c r="BM647" s="30"/>
      <c r="BN647" s="30"/>
      <c r="BO647" s="259"/>
      <c r="BP647" s="259"/>
      <c r="BQ647" s="259"/>
      <c r="BR647" s="259"/>
      <c r="BS647" s="259"/>
      <c r="BT647" s="259"/>
      <c r="BU647" s="259"/>
      <c r="BV647" s="259"/>
      <c r="BW647" s="259"/>
      <c r="BX647" s="259"/>
      <c r="BY647" s="259"/>
      <c r="BZ647" s="260"/>
      <c r="CA647" s="259"/>
      <c r="CB647" s="259"/>
      <c r="CC647" s="259"/>
      <c r="CD647" s="259"/>
      <c r="CE647" s="259"/>
      <c r="CF647" s="259"/>
      <c r="CG647" s="259"/>
      <c r="CH647" s="259"/>
      <c r="CI647" s="259"/>
      <c r="CJ647" s="259"/>
      <c r="CK647" s="259"/>
      <c r="CL647" s="259"/>
      <c r="CM647" s="259"/>
      <c r="CN647" s="259"/>
      <c r="CO647" s="259"/>
      <c r="CP647" s="259"/>
      <c r="CQ647" s="259"/>
      <c r="CR647" s="259"/>
      <c r="CS647" s="259"/>
      <c r="CT647" s="259"/>
      <c r="CU647" s="259"/>
      <c r="CV647" s="259"/>
      <c r="CW647" s="259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259"/>
      <c r="BP648" s="259"/>
      <c r="BQ648" s="259"/>
      <c r="BR648" s="259"/>
      <c r="BS648" s="259"/>
      <c r="BT648" s="259"/>
      <c r="BU648" s="259"/>
      <c r="BV648" s="259"/>
      <c r="BW648" s="259"/>
      <c r="BX648" s="259"/>
      <c r="BY648" s="259"/>
      <c r="BZ648" s="260"/>
      <c r="CA648" s="259"/>
      <c r="CB648" s="259"/>
      <c r="CC648" s="259"/>
      <c r="CD648" s="259"/>
      <c r="CE648" s="259"/>
      <c r="CF648" s="259"/>
      <c r="CG648" s="259"/>
      <c r="CH648" s="259"/>
      <c r="CI648" s="259"/>
      <c r="CJ648" s="259"/>
      <c r="CK648" s="259"/>
      <c r="CL648" s="259"/>
      <c r="CM648" s="259"/>
      <c r="CN648" s="259"/>
      <c r="CO648" s="259"/>
      <c r="CP648" s="259"/>
      <c r="CQ648" s="259"/>
      <c r="CR648" s="259"/>
      <c r="CS648" s="259"/>
      <c r="CT648" s="259"/>
      <c r="CU648" s="259"/>
      <c r="CV648" s="259"/>
      <c r="CW648" s="259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259"/>
      <c r="BP649" s="259"/>
      <c r="BQ649" s="259"/>
      <c r="BR649" s="259"/>
      <c r="BS649" s="259"/>
      <c r="BT649" s="259"/>
      <c r="BU649" s="259"/>
      <c r="BV649" s="259"/>
      <c r="BW649" s="259"/>
      <c r="BX649" s="259"/>
      <c r="BY649" s="259"/>
      <c r="BZ649" s="260"/>
      <c r="CA649" s="259"/>
      <c r="CB649" s="259"/>
      <c r="CC649" s="259"/>
      <c r="CD649" s="259"/>
      <c r="CE649" s="259"/>
      <c r="CF649" s="259"/>
      <c r="CG649" s="259"/>
      <c r="CH649" s="259"/>
      <c r="CI649" s="259"/>
      <c r="CJ649" s="259"/>
      <c r="CK649" s="259"/>
      <c r="CL649" s="259"/>
      <c r="CM649" s="259"/>
      <c r="CN649" s="259"/>
      <c r="CO649" s="259"/>
      <c r="CP649" s="259"/>
      <c r="CQ649" s="259"/>
      <c r="CR649" s="259"/>
      <c r="CS649" s="259"/>
      <c r="CT649" s="259"/>
      <c r="CU649" s="259"/>
      <c r="CV649" s="259"/>
      <c r="CW649" s="259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30"/>
      <c r="BN650" s="30"/>
      <c r="BO650" s="259"/>
      <c r="BP650" s="259"/>
      <c r="BQ650" s="259"/>
      <c r="BR650" s="259"/>
      <c r="BS650" s="259"/>
      <c r="BT650" s="259"/>
      <c r="BU650" s="259"/>
      <c r="BV650" s="259"/>
      <c r="BW650" s="259"/>
      <c r="BX650" s="259"/>
      <c r="BY650" s="259"/>
      <c r="BZ650" s="260"/>
      <c r="CA650" s="259"/>
      <c r="CB650" s="259"/>
      <c r="CC650" s="259"/>
      <c r="CD650" s="259"/>
      <c r="CE650" s="259"/>
      <c r="CF650" s="259"/>
      <c r="CG650" s="259"/>
      <c r="CH650" s="259"/>
      <c r="CI650" s="259"/>
      <c r="CJ650" s="259"/>
      <c r="CK650" s="259"/>
      <c r="CL650" s="259"/>
      <c r="CM650" s="259"/>
      <c r="CN650" s="259"/>
      <c r="CO650" s="259"/>
      <c r="CP650" s="259"/>
      <c r="CQ650" s="259"/>
      <c r="CR650" s="259"/>
      <c r="CS650" s="259"/>
      <c r="CT650" s="259"/>
      <c r="CU650" s="259"/>
      <c r="CV650" s="259"/>
      <c r="CW650" s="259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  <c r="BI651" s="30"/>
      <c r="BJ651" s="30"/>
      <c r="BK651" s="30"/>
      <c r="BL651" s="30"/>
      <c r="BM651" s="30"/>
      <c r="BN651" s="30"/>
      <c r="BO651" s="259"/>
      <c r="BP651" s="259"/>
      <c r="BQ651" s="259"/>
      <c r="BR651" s="259"/>
      <c r="BS651" s="259"/>
      <c r="BT651" s="259"/>
      <c r="BU651" s="259"/>
      <c r="BV651" s="259"/>
      <c r="BW651" s="259"/>
      <c r="BX651" s="259"/>
      <c r="BY651" s="259"/>
      <c r="BZ651" s="260"/>
      <c r="CA651" s="259"/>
      <c r="CB651" s="259"/>
      <c r="CC651" s="259"/>
      <c r="CD651" s="259"/>
      <c r="CE651" s="259"/>
      <c r="CF651" s="259"/>
      <c r="CG651" s="259"/>
      <c r="CH651" s="259"/>
      <c r="CI651" s="259"/>
      <c r="CJ651" s="259"/>
      <c r="CK651" s="259"/>
      <c r="CL651" s="259"/>
      <c r="CM651" s="259"/>
      <c r="CN651" s="259"/>
      <c r="CO651" s="259"/>
      <c r="CP651" s="259"/>
      <c r="CQ651" s="259"/>
      <c r="CR651" s="259"/>
      <c r="CS651" s="259"/>
      <c r="CT651" s="259"/>
      <c r="CU651" s="259"/>
      <c r="CV651" s="259"/>
      <c r="CW651" s="259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  <c r="BJ652" s="30"/>
      <c r="BK652" s="30"/>
      <c r="BL652" s="30"/>
      <c r="BM652" s="30"/>
      <c r="BN652" s="30"/>
      <c r="BO652" s="259"/>
      <c r="BP652" s="259"/>
      <c r="BQ652" s="259"/>
      <c r="BR652" s="259"/>
      <c r="BS652" s="259"/>
      <c r="BT652" s="259"/>
      <c r="BU652" s="259"/>
      <c r="BV652" s="259"/>
      <c r="BW652" s="259"/>
      <c r="BX652" s="259"/>
      <c r="BY652" s="259"/>
      <c r="BZ652" s="260"/>
      <c r="CA652" s="259"/>
      <c r="CB652" s="259"/>
      <c r="CC652" s="259"/>
      <c r="CD652" s="259"/>
      <c r="CE652" s="259"/>
      <c r="CF652" s="259"/>
      <c r="CG652" s="259"/>
      <c r="CH652" s="259"/>
      <c r="CI652" s="259"/>
      <c r="CJ652" s="259"/>
      <c r="CK652" s="259"/>
      <c r="CL652" s="259"/>
      <c r="CM652" s="259"/>
      <c r="CN652" s="259"/>
      <c r="CO652" s="259"/>
      <c r="CP652" s="259"/>
      <c r="CQ652" s="259"/>
      <c r="CR652" s="259"/>
      <c r="CS652" s="259"/>
      <c r="CT652" s="259"/>
      <c r="CU652" s="259"/>
      <c r="CV652" s="259"/>
      <c r="CW652" s="259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  <c r="BI653" s="30"/>
      <c r="BJ653" s="30"/>
      <c r="BK653" s="30"/>
      <c r="BL653" s="30"/>
      <c r="BM653" s="30"/>
      <c r="BN653" s="30"/>
      <c r="BO653" s="259"/>
      <c r="BP653" s="259"/>
      <c r="BQ653" s="259"/>
      <c r="BR653" s="259"/>
      <c r="BS653" s="259"/>
      <c r="BT653" s="259"/>
      <c r="BU653" s="259"/>
      <c r="BV653" s="259"/>
      <c r="BW653" s="259"/>
      <c r="BX653" s="259"/>
      <c r="BY653" s="259"/>
      <c r="BZ653" s="260"/>
      <c r="CA653" s="259"/>
      <c r="CB653" s="259"/>
      <c r="CC653" s="259"/>
      <c r="CD653" s="259"/>
      <c r="CE653" s="259"/>
      <c r="CF653" s="259"/>
      <c r="CG653" s="259"/>
      <c r="CH653" s="259"/>
      <c r="CI653" s="259"/>
      <c r="CJ653" s="259"/>
      <c r="CK653" s="259"/>
      <c r="CL653" s="259"/>
      <c r="CM653" s="259"/>
      <c r="CN653" s="259"/>
      <c r="CO653" s="259"/>
      <c r="CP653" s="259"/>
      <c r="CQ653" s="259"/>
      <c r="CR653" s="259"/>
      <c r="CS653" s="259"/>
      <c r="CT653" s="259"/>
      <c r="CU653" s="259"/>
      <c r="CV653" s="259"/>
      <c r="CW653" s="259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  <c r="BJ654" s="30"/>
      <c r="BK654" s="30"/>
      <c r="BL654" s="30"/>
      <c r="BM654" s="30"/>
      <c r="BN654" s="30"/>
      <c r="BO654" s="259"/>
      <c r="BP654" s="259"/>
      <c r="BQ654" s="259"/>
      <c r="BR654" s="259"/>
      <c r="BS654" s="259"/>
      <c r="BT654" s="259"/>
      <c r="BU654" s="259"/>
      <c r="BV654" s="259"/>
      <c r="BW654" s="259"/>
      <c r="BX654" s="259"/>
      <c r="BY654" s="259"/>
      <c r="BZ654" s="260"/>
      <c r="CA654" s="259"/>
      <c r="CB654" s="259"/>
      <c r="CC654" s="259"/>
      <c r="CD654" s="259"/>
      <c r="CE654" s="259"/>
      <c r="CF654" s="259"/>
      <c r="CG654" s="259"/>
      <c r="CH654" s="259"/>
      <c r="CI654" s="259"/>
      <c r="CJ654" s="259"/>
      <c r="CK654" s="259"/>
      <c r="CL654" s="259"/>
      <c r="CM654" s="259"/>
      <c r="CN654" s="259"/>
      <c r="CO654" s="259"/>
      <c r="CP654" s="259"/>
      <c r="CQ654" s="259"/>
      <c r="CR654" s="259"/>
      <c r="CS654" s="259"/>
      <c r="CT654" s="259"/>
      <c r="CU654" s="259"/>
      <c r="CV654" s="259"/>
      <c r="CW654" s="259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  <c r="BI655" s="30"/>
      <c r="BJ655" s="30"/>
      <c r="BK655" s="30"/>
      <c r="BL655" s="30"/>
      <c r="BM655" s="30"/>
      <c r="BN655" s="30"/>
      <c r="BO655" s="259"/>
      <c r="BP655" s="259"/>
      <c r="BQ655" s="259"/>
      <c r="BR655" s="259"/>
      <c r="BS655" s="259"/>
      <c r="BT655" s="259"/>
      <c r="BU655" s="259"/>
      <c r="BV655" s="259"/>
      <c r="BW655" s="259"/>
      <c r="BX655" s="259"/>
      <c r="BY655" s="259"/>
      <c r="BZ655" s="260"/>
      <c r="CA655" s="259"/>
      <c r="CB655" s="259"/>
      <c r="CC655" s="259"/>
      <c r="CD655" s="259"/>
      <c r="CE655" s="259"/>
      <c r="CF655" s="259"/>
      <c r="CG655" s="259"/>
      <c r="CH655" s="259"/>
      <c r="CI655" s="259"/>
      <c r="CJ655" s="259"/>
      <c r="CK655" s="259"/>
      <c r="CL655" s="259"/>
      <c r="CM655" s="259"/>
      <c r="CN655" s="259"/>
      <c r="CO655" s="259"/>
      <c r="CP655" s="259"/>
      <c r="CQ655" s="259"/>
      <c r="CR655" s="259"/>
      <c r="CS655" s="259"/>
      <c r="CT655" s="259"/>
      <c r="CU655" s="259"/>
      <c r="CV655" s="259"/>
      <c r="CW655" s="259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  <c r="BJ656" s="30"/>
      <c r="BK656" s="30"/>
      <c r="BL656" s="30"/>
      <c r="BM656" s="30"/>
      <c r="BN656" s="30"/>
      <c r="BO656" s="259"/>
      <c r="BP656" s="259"/>
      <c r="BQ656" s="259"/>
      <c r="BR656" s="259"/>
      <c r="BS656" s="259"/>
      <c r="BT656" s="259"/>
      <c r="BU656" s="259"/>
      <c r="BV656" s="259"/>
      <c r="BW656" s="259"/>
      <c r="BX656" s="259"/>
      <c r="BY656" s="259"/>
      <c r="BZ656" s="260"/>
      <c r="CA656" s="259"/>
      <c r="CB656" s="259"/>
      <c r="CC656" s="259"/>
      <c r="CD656" s="259"/>
      <c r="CE656" s="259"/>
      <c r="CF656" s="259"/>
      <c r="CG656" s="259"/>
      <c r="CH656" s="259"/>
      <c r="CI656" s="259"/>
      <c r="CJ656" s="259"/>
      <c r="CK656" s="259"/>
      <c r="CL656" s="259"/>
      <c r="CM656" s="259"/>
      <c r="CN656" s="259"/>
      <c r="CO656" s="259"/>
      <c r="CP656" s="259"/>
      <c r="CQ656" s="259"/>
      <c r="CR656" s="259"/>
      <c r="CS656" s="259"/>
      <c r="CT656" s="259"/>
      <c r="CU656" s="259"/>
      <c r="CV656" s="259"/>
      <c r="CW656" s="259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  <c r="BJ657" s="30"/>
      <c r="BK657" s="30"/>
      <c r="BL657" s="30"/>
      <c r="BM657" s="30"/>
      <c r="BN657" s="30"/>
      <c r="BO657" s="259"/>
      <c r="BP657" s="259"/>
      <c r="BQ657" s="259"/>
      <c r="BR657" s="259"/>
      <c r="BS657" s="259"/>
      <c r="BT657" s="259"/>
      <c r="BU657" s="259"/>
      <c r="BV657" s="259"/>
      <c r="BW657" s="259"/>
      <c r="BX657" s="259"/>
      <c r="BY657" s="259"/>
      <c r="BZ657" s="260"/>
      <c r="CA657" s="259"/>
      <c r="CB657" s="259"/>
      <c r="CC657" s="259"/>
      <c r="CD657" s="259"/>
      <c r="CE657" s="259"/>
      <c r="CF657" s="259"/>
      <c r="CG657" s="259"/>
      <c r="CH657" s="259"/>
      <c r="CI657" s="259"/>
      <c r="CJ657" s="259"/>
      <c r="CK657" s="259"/>
      <c r="CL657" s="259"/>
      <c r="CM657" s="259"/>
      <c r="CN657" s="259"/>
      <c r="CO657" s="259"/>
      <c r="CP657" s="259"/>
      <c r="CQ657" s="259"/>
      <c r="CR657" s="259"/>
      <c r="CS657" s="259"/>
      <c r="CT657" s="259"/>
      <c r="CU657" s="259"/>
      <c r="CV657" s="259"/>
      <c r="CW657" s="259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  <c r="BI658" s="30"/>
      <c r="BJ658" s="30"/>
      <c r="BK658" s="30"/>
      <c r="BL658" s="30"/>
      <c r="BM658" s="30"/>
      <c r="BN658" s="30"/>
      <c r="BO658" s="259"/>
      <c r="BP658" s="259"/>
      <c r="BQ658" s="259"/>
      <c r="BR658" s="259"/>
      <c r="BS658" s="259"/>
      <c r="BT658" s="259"/>
      <c r="BU658" s="259"/>
      <c r="BV658" s="259"/>
      <c r="BW658" s="259"/>
      <c r="BX658" s="259"/>
      <c r="BY658" s="259"/>
      <c r="BZ658" s="260"/>
      <c r="CA658" s="259"/>
      <c r="CB658" s="259"/>
      <c r="CC658" s="259"/>
      <c r="CD658" s="259"/>
      <c r="CE658" s="259"/>
      <c r="CF658" s="259"/>
      <c r="CG658" s="259"/>
      <c r="CH658" s="259"/>
      <c r="CI658" s="259"/>
      <c r="CJ658" s="259"/>
      <c r="CK658" s="259"/>
      <c r="CL658" s="259"/>
      <c r="CM658" s="259"/>
      <c r="CN658" s="259"/>
      <c r="CO658" s="259"/>
      <c r="CP658" s="259"/>
      <c r="CQ658" s="259"/>
      <c r="CR658" s="259"/>
      <c r="CS658" s="259"/>
      <c r="CT658" s="259"/>
      <c r="CU658" s="259"/>
      <c r="CV658" s="259"/>
      <c r="CW658" s="259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  <c r="BJ659" s="30"/>
      <c r="BK659" s="30"/>
      <c r="BL659" s="30"/>
      <c r="BM659" s="30"/>
      <c r="BN659" s="30"/>
      <c r="BO659" s="259"/>
      <c r="BP659" s="259"/>
      <c r="BQ659" s="259"/>
      <c r="BR659" s="259"/>
      <c r="BS659" s="259"/>
      <c r="BT659" s="259"/>
      <c r="BU659" s="259"/>
      <c r="BV659" s="259"/>
      <c r="BW659" s="259"/>
      <c r="BX659" s="259"/>
      <c r="BY659" s="259"/>
      <c r="BZ659" s="260"/>
      <c r="CA659" s="259"/>
      <c r="CB659" s="259"/>
      <c r="CC659" s="259"/>
      <c r="CD659" s="259"/>
      <c r="CE659" s="259"/>
      <c r="CF659" s="259"/>
      <c r="CG659" s="259"/>
      <c r="CH659" s="259"/>
      <c r="CI659" s="259"/>
      <c r="CJ659" s="259"/>
      <c r="CK659" s="259"/>
      <c r="CL659" s="259"/>
      <c r="CM659" s="259"/>
      <c r="CN659" s="259"/>
      <c r="CO659" s="259"/>
      <c r="CP659" s="259"/>
      <c r="CQ659" s="259"/>
      <c r="CR659" s="259"/>
      <c r="CS659" s="259"/>
      <c r="CT659" s="259"/>
      <c r="CU659" s="259"/>
      <c r="CV659" s="259"/>
      <c r="CW659" s="259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30"/>
      <c r="BN660" s="30"/>
      <c r="BO660" s="259"/>
      <c r="BP660" s="259"/>
      <c r="BQ660" s="259"/>
      <c r="BR660" s="259"/>
      <c r="BS660" s="259"/>
      <c r="BT660" s="259"/>
      <c r="BU660" s="259"/>
      <c r="BV660" s="259"/>
      <c r="BW660" s="259"/>
      <c r="BX660" s="259"/>
      <c r="BY660" s="259"/>
      <c r="BZ660" s="260"/>
      <c r="CA660" s="259"/>
      <c r="CB660" s="259"/>
      <c r="CC660" s="259"/>
      <c r="CD660" s="259"/>
      <c r="CE660" s="259"/>
      <c r="CF660" s="259"/>
      <c r="CG660" s="259"/>
      <c r="CH660" s="259"/>
      <c r="CI660" s="259"/>
      <c r="CJ660" s="259"/>
      <c r="CK660" s="259"/>
      <c r="CL660" s="259"/>
      <c r="CM660" s="259"/>
      <c r="CN660" s="259"/>
      <c r="CO660" s="259"/>
      <c r="CP660" s="259"/>
      <c r="CQ660" s="259"/>
      <c r="CR660" s="259"/>
      <c r="CS660" s="259"/>
      <c r="CT660" s="259"/>
      <c r="CU660" s="259"/>
      <c r="CV660" s="259"/>
      <c r="CW660" s="259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  <c r="BN661" s="30"/>
      <c r="BO661" s="259"/>
      <c r="BP661" s="259"/>
      <c r="BQ661" s="259"/>
      <c r="BR661" s="259"/>
      <c r="BS661" s="259"/>
      <c r="BT661" s="259"/>
      <c r="BU661" s="259"/>
      <c r="BV661" s="259"/>
      <c r="BW661" s="259"/>
      <c r="BX661" s="259"/>
      <c r="BY661" s="259"/>
      <c r="BZ661" s="260"/>
      <c r="CA661" s="259"/>
      <c r="CB661" s="259"/>
      <c r="CC661" s="259"/>
      <c r="CD661" s="259"/>
      <c r="CE661" s="259"/>
      <c r="CF661" s="259"/>
      <c r="CG661" s="259"/>
      <c r="CH661" s="259"/>
      <c r="CI661" s="259"/>
      <c r="CJ661" s="259"/>
      <c r="CK661" s="259"/>
      <c r="CL661" s="259"/>
      <c r="CM661" s="259"/>
      <c r="CN661" s="259"/>
      <c r="CO661" s="259"/>
      <c r="CP661" s="259"/>
      <c r="CQ661" s="259"/>
      <c r="CR661" s="259"/>
      <c r="CS661" s="259"/>
      <c r="CT661" s="259"/>
      <c r="CU661" s="259"/>
      <c r="CV661" s="259"/>
      <c r="CW661" s="259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  <c r="BJ662" s="30"/>
      <c r="BK662" s="30"/>
      <c r="BL662" s="30"/>
      <c r="BM662" s="30"/>
      <c r="BN662" s="30"/>
      <c r="BO662" s="259"/>
      <c r="BP662" s="259"/>
      <c r="BQ662" s="259"/>
      <c r="BR662" s="259"/>
      <c r="BS662" s="259"/>
      <c r="BT662" s="259"/>
      <c r="BU662" s="259"/>
      <c r="BV662" s="259"/>
      <c r="BW662" s="259"/>
      <c r="BX662" s="259"/>
      <c r="BY662" s="259"/>
      <c r="BZ662" s="260"/>
      <c r="CA662" s="259"/>
      <c r="CB662" s="259"/>
      <c r="CC662" s="259"/>
      <c r="CD662" s="259"/>
      <c r="CE662" s="259"/>
      <c r="CF662" s="259"/>
      <c r="CG662" s="259"/>
      <c r="CH662" s="259"/>
      <c r="CI662" s="259"/>
      <c r="CJ662" s="259"/>
      <c r="CK662" s="259"/>
      <c r="CL662" s="259"/>
      <c r="CM662" s="259"/>
      <c r="CN662" s="259"/>
      <c r="CO662" s="259"/>
      <c r="CP662" s="259"/>
      <c r="CQ662" s="259"/>
      <c r="CR662" s="259"/>
      <c r="CS662" s="259"/>
      <c r="CT662" s="259"/>
      <c r="CU662" s="259"/>
      <c r="CV662" s="259"/>
      <c r="CW662" s="259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  <c r="BJ663" s="30"/>
      <c r="BK663" s="30"/>
      <c r="BL663" s="30"/>
      <c r="BM663" s="30"/>
      <c r="BN663" s="30"/>
      <c r="BO663" s="259"/>
      <c r="BP663" s="259"/>
      <c r="BQ663" s="259"/>
      <c r="BR663" s="259"/>
      <c r="BS663" s="259"/>
      <c r="BT663" s="259"/>
      <c r="BU663" s="259"/>
      <c r="BV663" s="259"/>
      <c r="BW663" s="259"/>
      <c r="BX663" s="259"/>
      <c r="BY663" s="259"/>
      <c r="BZ663" s="260"/>
      <c r="CA663" s="259"/>
      <c r="CB663" s="259"/>
      <c r="CC663" s="259"/>
      <c r="CD663" s="259"/>
      <c r="CE663" s="259"/>
      <c r="CF663" s="259"/>
      <c r="CG663" s="259"/>
      <c r="CH663" s="259"/>
      <c r="CI663" s="259"/>
      <c r="CJ663" s="259"/>
      <c r="CK663" s="259"/>
      <c r="CL663" s="259"/>
      <c r="CM663" s="259"/>
      <c r="CN663" s="259"/>
      <c r="CO663" s="259"/>
      <c r="CP663" s="259"/>
      <c r="CQ663" s="259"/>
      <c r="CR663" s="259"/>
      <c r="CS663" s="259"/>
      <c r="CT663" s="259"/>
      <c r="CU663" s="259"/>
      <c r="CV663" s="259"/>
      <c r="CW663" s="259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  <c r="BJ664" s="30"/>
      <c r="BK664" s="30"/>
      <c r="BL664" s="30"/>
      <c r="BM664" s="30"/>
      <c r="BN664" s="30"/>
      <c r="BO664" s="259"/>
      <c r="BP664" s="259"/>
      <c r="BQ664" s="259"/>
      <c r="BR664" s="259"/>
      <c r="BS664" s="259"/>
      <c r="BT664" s="259"/>
      <c r="BU664" s="259"/>
      <c r="BV664" s="259"/>
      <c r="BW664" s="259"/>
      <c r="BX664" s="259"/>
      <c r="BY664" s="259"/>
      <c r="BZ664" s="260"/>
      <c r="CA664" s="259"/>
      <c r="CB664" s="259"/>
      <c r="CC664" s="259"/>
      <c r="CD664" s="259"/>
      <c r="CE664" s="259"/>
      <c r="CF664" s="259"/>
      <c r="CG664" s="259"/>
      <c r="CH664" s="259"/>
      <c r="CI664" s="259"/>
      <c r="CJ664" s="259"/>
      <c r="CK664" s="259"/>
      <c r="CL664" s="259"/>
      <c r="CM664" s="259"/>
      <c r="CN664" s="259"/>
      <c r="CO664" s="259"/>
      <c r="CP664" s="259"/>
      <c r="CQ664" s="259"/>
      <c r="CR664" s="259"/>
      <c r="CS664" s="259"/>
      <c r="CT664" s="259"/>
      <c r="CU664" s="259"/>
      <c r="CV664" s="259"/>
      <c r="CW664" s="259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  <c r="BJ665" s="30"/>
      <c r="BK665" s="30"/>
      <c r="BL665" s="30"/>
      <c r="BM665" s="30"/>
      <c r="BN665" s="30"/>
      <c r="BO665" s="259"/>
      <c r="BP665" s="259"/>
      <c r="BQ665" s="259"/>
      <c r="BR665" s="259"/>
      <c r="BS665" s="259"/>
      <c r="BT665" s="259"/>
      <c r="BU665" s="259"/>
      <c r="BV665" s="259"/>
      <c r="BW665" s="259"/>
      <c r="BX665" s="259"/>
      <c r="BY665" s="259"/>
      <c r="BZ665" s="260"/>
      <c r="CA665" s="259"/>
      <c r="CB665" s="259"/>
      <c r="CC665" s="259"/>
      <c r="CD665" s="259"/>
      <c r="CE665" s="259"/>
      <c r="CF665" s="259"/>
      <c r="CG665" s="259"/>
      <c r="CH665" s="259"/>
      <c r="CI665" s="259"/>
      <c r="CJ665" s="259"/>
      <c r="CK665" s="259"/>
      <c r="CL665" s="259"/>
      <c r="CM665" s="259"/>
      <c r="CN665" s="259"/>
      <c r="CO665" s="259"/>
      <c r="CP665" s="259"/>
      <c r="CQ665" s="259"/>
      <c r="CR665" s="259"/>
      <c r="CS665" s="259"/>
      <c r="CT665" s="259"/>
      <c r="CU665" s="259"/>
      <c r="CV665" s="259"/>
      <c r="CW665" s="259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  <c r="BN666" s="30"/>
      <c r="BO666" s="259"/>
      <c r="BP666" s="259"/>
      <c r="BQ666" s="259"/>
      <c r="BR666" s="259"/>
      <c r="BS666" s="259"/>
      <c r="BT666" s="259"/>
      <c r="BU666" s="259"/>
      <c r="BV666" s="259"/>
      <c r="BW666" s="259"/>
      <c r="BX666" s="259"/>
      <c r="BY666" s="259"/>
      <c r="BZ666" s="260"/>
      <c r="CA666" s="259"/>
      <c r="CB666" s="259"/>
      <c r="CC666" s="259"/>
      <c r="CD666" s="259"/>
      <c r="CE666" s="259"/>
      <c r="CF666" s="259"/>
      <c r="CG666" s="259"/>
      <c r="CH666" s="259"/>
      <c r="CI666" s="259"/>
      <c r="CJ666" s="259"/>
      <c r="CK666" s="259"/>
      <c r="CL666" s="259"/>
      <c r="CM666" s="259"/>
      <c r="CN666" s="259"/>
      <c r="CO666" s="259"/>
      <c r="CP666" s="259"/>
      <c r="CQ666" s="259"/>
      <c r="CR666" s="259"/>
      <c r="CS666" s="259"/>
      <c r="CT666" s="259"/>
      <c r="CU666" s="259"/>
      <c r="CV666" s="259"/>
      <c r="CW666" s="259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30"/>
      <c r="BN667" s="30"/>
      <c r="BO667" s="259"/>
      <c r="BP667" s="259"/>
      <c r="BQ667" s="259"/>
      <c r="BR667" s="259"/>
      <c r="BS667" s="259"/>
      <c r="BT667" s="259"/>
      <c r="BU667" s="259"/>
      <c r="BV667" s="259"/>
      <c r="BW667" s="259"/>
      <c r="BX667" s="259"/>
      <c r="BY667" s="259"/>
      <c r="BZ667" s="260"/>
      <c r="CA667" s="259"/>
      <c r="CB667" s="259"/>
      <c r="CC667" s="259"/>
      <c r="CD667" s="259"/>
      <c r="CE667" s="259"/>
      <c r="CF667" s="259"/>
      <c r="CG667" s="259"/>
      <c r="CH667" s="259"/>
      <c r="CI667" s="259"/>
      <c r="CJ667" s="259"/>
      <c r="CK667" s="259"/>
      <c r="CL667" s="259"/>
      <c r="CM667" s="259"/>
      <c r="CN667" s="259"/>
      <c r="CO667" s="259"/>
      <c r="CP667" s="259"/>
      <c r="CQ667" s="259"/>
      <c r="CR667" s="259"/>
      <c r="CS667" s="259"/>
      <c r="CT667" s="259"/>
      <c r="CU667" s="259"/>
      <c r="CV667" s="259"/>
      <c r="CW667" s="259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  <c r="BJ668" s="30"/>
      <c r="BK668" s="30"/>
      <c r="BL668" s="30"/>
      <c r="BM668" s="30"/>
      <c r="BN668" s="30"/>
      <c r="BO668" s="259"/>
      <c r="BP668" s="259"/>
      <c r="BQ668" s="259"/>
      <c r="BR668" s="259"/>
      <c r="BS668" s="259"/>
      <c r="BT668" s="259"/>
      <c r="BU668" s="259"/>
      <c r="BV668" s="259"/>
      <c r="BW668" s="259"/>
      <c r="BX668" s="259"/>
      <c r="BY668" s="259"/>
      <c r="BZ668" s="260"/>
      <c r="CA668" s="259"/>
      <c r="CB668" s="259"/>
      <c r="CC668" s="259"/>
      <c r="CD668" s="259"/>
      <c r="CE668" s="259"/>
      <c r="CF668" s="259"/>
      <c r="CG668" s="259"/>
      <c r="CH668" s="259"/>
      <c r="CI668" s="259"/>
      <c r="CJ668" s="259"/>
      <c r="CK668" s="259"/>
      <c r="CL668" s="259"/>
      <c r="CM668" s="259"/>
      <c r="CN668" s="259"/>
      <c r="CO668" s="259"/>
      <c r="CP668" s="259"/>
      <c r="CQ668" s="259"/>
      <c r="CR668" s="259"/>
      <c r="CS668" s="259"/>
      <c r="CT668" s="259"/>
      <c r="CU668" s="259"/>
      <c r="CV668" s="259"/>
      <c r="CW668" s="259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259"/>
      <c r="BP669" s="259"/>
      <c r="BQ669" s="259"/>
      <c r="BR669" s="259"/>
      <c r="BS669" s="259"/>
      <c r="BT669" s="259"/>
      <c r="BU669" s="259"/>
      <c r="BV669" s="259"/>
      <c r="BW669" s="259"/>
      <c r="BX669" s="259"/>
      <c r="BY669" s="259"/>
      <c r="BZ669" s="260"/>
      <c r="CA669" s="259"/>
      <c r="CB669" s="259"/>
      <c r="CC669" s="259"/>
      <c r="CD669" s="259"/>
      <c r="CE669" s="259"/>
      <c r="CF669" s="259"/>
      <c r="CG669" s="259"/>
      <c r="CH669" s="259"/>
      <c r="CI669" s="259"/>
      <c r="CJ669" s="259"/>
      <c r="CK669" s="259"/>
      <c r="CL669" s="259"/>
      <c r="CM669" s="259"/>
      <c r="CN669" s="259"/>
      <c r="CO669" s="259"/>
      <c r="CP669" s="259"/>
      <c r="CQ669" s="259"/>
      <c r="CR669" s="259"/>
      <c r="CS669" s="259"/>
      <c r="CT669" s="259"/>
      <c r="CU669" s="259"/>
      <c r="CV669" s="259"/>
      <c r="CW669" s="259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30"/>
      <c r="BN670" s="30"/>
      <c r="BO670" s="259"/>
      <c r="BP670" s="259"/>
      <c r="BQ670" s="259"/>
      <c r="BR670" s="259"/>
      <c r="BS670" s="259"/>
      <c r="BT670" s="259"/>
      <c r="BU670" s="259"/>
      <c r="BV670" s="259"/>
      <c r="BW670" s="259"/>
      <c r="BX670" s="259"/>
      <c r="BY670" s="259"/>
      <c r="BZ670" s="260"/>
      <c r="CA670" s="259"/>
      <c r="CB670" s="259"/>
      <c r="CC670" s="259"/>
      <c r="CD670" s="259"/>
      <c r="CE670" s="259"/>
      <c r="CF670" s="259"/>
      <c r="CG670" s="259"/>
      <c r="CH670" s="259"/>
      <c r="CI670" s="259"/>
      <c r="CJ670" s="259"/>
      <c r="CK670" s="259"/>
      <c r="CL670" s="259"/>
      <c r="CM670" s="259"/>
      <c r="CN670" s="259"/>
      <c r="CO670" s="259"/>
      <c r="CP670" s="259"/>
      <c r="CQ670" s="259"/>
      <c r="CR670" s="259"/>
      <c r="CS670" s="259"/>
      <c r="CT670" s="259"/>
      <c r="CU670" s="259"/>
      <c r="CV670" s="259"/>
      <c r="CW670" s="259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259"/>
      <c r="BP671" s="259"/>
      <c r="BQ671" s="259"/>
      <c r="BR671" s="259"/>
      <c r="BS671" s="259"/>
      <c r="BT671" s="259"/>
      <c r="BU671" s="259"/>
      <c r="BV671" s="259"/>
      <c r="BW671" s="259"/>
      <c r="BX671" s="259"/>
      <c r="BY671" s="259"/>
      <c r="BZ671" s="260"/>
      <c r="CA671" s="259"/>
      <c r="CB671" s="259"/>
      <c r="CC671" s="259"/>
      <c r="CD671" s="259"/>
      <c r="CE671" s="259"/>
      <c r="CF671" s="259"/>
      <c r="CG671" s="259"/>
      <c r="CH671" s="259"/>
      <c r="CI671" s="259"/>
      <c r="CJ671" s="259"/>
      <c r="CK671" s="259"/>
      <c r="CL671" s="259"/>
      <c r="CM671" s="259"/>
      <c r="CN671" s="259"/>
      <c r="CO671" s="259"/>
      <c r="CP671" s="259"/>
      <c r="CQ671" s="259"/>
      <c r="CR671" s="259"/>
      <c r="CS671" s="259"/>
      <c r="CT671" s="259"/>
      <c r="CU671" s="259"/>
      <c r="CV671" s="259"/>
      <c r="CW671" s="259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  <c r="BJ672" s="30"/>
      <c r="BK672" s="30"/>
      <c r="BL672" s="30"/>
      <c r="BM672" s="30"/>
      <c r="BN672" s="30"/>
      <c r="BO672" s="259"/>
      <c r="BP672" s="259"/>
      <c r="BQ672" s="259"/>
      <c r="BR672" s="259"/>
      <c r="BS672" s="259"/>
      <c r="BT672" s="259"/>
      <c r="BU672" s="259"/>
      <c r="BV672" s="259"/>
      <c r="BW672" s="259"/>
      <c r="BX672" s="259"/>
      <c r="BY672" s="259"/>
      <c r="BZ672" s="260"/>
      <c r="CA672" s="259"/>
      <c r="CB672" s="259"/>
      <c r="CC672" s="259"/>
      <c r="CD672" s="259"/>
      <c r="CE672" s="259"/>
      <c r="CF672" s="259"/>
      <c r="CG672" s="259"/>
      <c r="CH672" s="259"/>
      <c r="CI672" s="259"/>
      <c r="CJ672" s="259"/>
      <c r="CK672" s="259"/>
      <c r="CL672" s="259"/>
      <c r="CM672" s="259"/>
      <c r="CN672" s="259"/>
      <c r="CO672" s="259"/>
      <c r="CP672" s="259"/>
      <c r="CQ672" s="259"/>
      <c r="CR672" s="259"/>
      <c r="CS672" s="259"/>
      <c r="CT672" s="259"/>
      <c r="CU672" s="259"/>
      <c r="CV672" s="259"/>
      <c r="CW672" s="259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  <c r="BJ673" s="30"/>
      <c r="BK673" s="30"/>
      <c r="BL673" s="30"/>
      <c r="BM673" s="30"/>
      <c r="BN673" s="30"/>
      <c r="BO673" s="259"/>
      <c r="BP673" s="259"/>
      <c r="BQ673" s="259"/>
      <c r="BR673" s="259"/>
      <c r="BS673" s="259"/>
      <c r="BT673" s="259"/>
      <c r="BU673" s="259"/>
      <c r="BV673" s="259"/>
      <c r="BW673" s="259"/>
      <c r="BX673" s="259"/>
      <c r="BY673" s="259"/>
      <c r="BZ673" s="260"/>
      <c r="CA673" s="259"/>
      <c r="CB673" s="259"/>
      <c r="CC673" s="259"/>
      <c r="CD673" s="259"/>
      <c r="CE673" s="259"/>
      <c r="CF673" s="259"/>
      <c r="CG673" s="259"/>
      <c r="CH673" s="259"/>
      <c r="CI673" s="259"/>
      <c r="CJ673" s="259"/>
      <c r="CK673" s="259"/>
      <c r="CL673" s="259"/>
      <c r="CM673" s="259"/>
      <c r="CN673" s="259"/>
      <c r="CO673" s="259"/>
      <c r="CP673" s="259"/>
      <c r="CQ673" s="259"/>
      <c r="CR673" s="259"/>
      <c r="CS673" s="259"/>
      <c r="CT673" s="259"/>
      <c r="CU673" s="259"/>
      <c r="CV673" s="259"/>
      <c r="CW673" s="259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30"/>
      <c r="BL674" s="30"/>
      <c r="BM674" s="30"/>
      <c r="BN674" s="30"/>
      <c r="BO674" s="259"/>
      <c r="BP674" s="259"/>
      <c r="BQ674" s="259"/>
      <c r="BR674" s="259"/>
      <c r="BS674" s="259"/>
      <c r="BT674" s="259"/>
      <c r="BU674" s="259"/>
      <c r="BV674" s="259"/>
      <c r="BW674" s="259"/>
      <c r="BX674" s="259"/>
      <c r="BY674" s="259"/>
      <c r="BZ674" s="260"/>
      <c r="CA674" s="259"/>
      <c r="CB674" s="259"/>
      <c r="CC674" s="259"/>
      <c r="CD674" s="259"/>
      <c r="CE674" s="259"/>
      <c r="CF674" s="259"/>
      <c r="CG674" s="259"/>
      <c r="CH674" s="259"/>
      <c r="CI674" s="259"/>
      <c r="CJ674" s="259"/>
      <c r="CK674" s="259"/>
      <c r="CL674" s="259"/>
      <c r="CM674" s="259"/>
      <c r="CN674" s="259"/>
      <c r="CO674" s="259"/>
      <c r="CP674" s="259"/>
      <c r="CQ674" s="259"/>
      <c r="CR674" s="259"/>
      <c r="CS674" s="259"/>
      <c r="CT674" s="259"/>
      <c r="CU674" s="259"/>
      <c r="CV674" s="259"/>
      <c r="CW674" s="259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30"/>
      <c r="BL675" s="30"/>
      <c r="BM675" s="30"/>
      <c r="BN675" s="30"/>
      <c r="BO675" s="259"/>
      <c r="BP675" s="259"/>
      <c r="BQ675" s="259"/>
      <c r="BR675" s="259"/>
      <c r="BS675" s="259"/>
      <c r="BT675" s="259"/>
      <c r="BU675" s="259"/>
      <c r="BV675" s="259"/>
      <c r="BW675" s="259"/>
      <c r="BX675" s="259"/>
      <c r="BY675" s="259"/>
      <c r="BZ675" s="260"/>
      <c r="CA675" s="259"/>
      <c r="CB675" s="259"/>
      <c r="CC675" s="259"/>
      <c r="CD675" s="259"/>
      <c r="CE675" s="259"/>
      <c r="CF675" s="259"/>
      <c r="CG675" s="259"/>
      <c r="CH675" s="259"/>
      <c r="CI675" s="259"/>
      <c r="CJ675" s="259"/>
      <c r="CK675" s="259"/>
      <c r="CL675" s="259"/>
      <c r="CM675" s="259"/>
      <c r="CN675" s="259"/>
      <c r="CO675" s="259"/>
      <c r="CP675" s="259"/>
      <c r="CQ675" s="259"/>
      <c r="CR675" s="259"/>
      <c r="CS675" s="259"/>
      <c r="CT675" s="259"/>
      <c r="CU675" s="259"/>
      <c r="CV675" s="259"/>
      <c r="CW675" s="259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  <c r="BN676" s="30"/>
      <c r="BO676" s="259"/>
      <c r="BP676" s="259"/>
      <c r="BQ676" s="259"/>
      <c r="BR676" s="259"/>
      <c r="BS676" s="259"/>
      <c r="BT676" s="259"/>
      <c r="BU676" s="259"/>
      <c r="BV676" s="259"/>
      <c r="BW676" s="259"/>
      <c r="BX676" s="259"/>
      <c r="BY676" s="259"/>
      <c r="BZ676" s="260"/>
      <c r="CA676" s="259"/>
      <c r="CB676" s="259"/>
      <c r="CC676" s="259"/>
      <c r="CD676" s="259"/>
      <c r="CE676" s="259"/>
      <c r="CF676" s="259"/>
      <c r="CG676" s="259"/>
      <c r="CH676" s="259"/>
      <c r="CI676" s="259"/>
      <c r="CJ676" s="259"/>
      <c r="CK676" s="259"/>
      <c r="CL676" s="259"/>
      <c r="CM676" s="259"/>
      <c r="CN676" s="259"/>
      <c r="CO676" s="259"/>
      <c r="CP676" s="259"/>
      <c r="CQ676" s="259"/>
      <c r="CR676" s="259"/>
      <c r="CS676" s="259"/>
      <c r="CT676" s="259"/>
      <c r="CU676" s="259"/>
      <c r="CV676" s="259"/>
      <c r="CW676" s="259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30"/>
      <c r="BL677" s="30"/>
      <c r="BM677" s="30"/>
      <c r="BN677" s="30"/>
      <c r="BO677" s="259"/>
      <c r="BP677" s="259"/>
      <c r="BQ677" s="259"/>
      <c r="BR677" s="259"/>
      <c r="BS677" s="259"/>
      <c r="BT677" s="259"/>
      <c r="BU677" s="259"/>
      <c r="BV677" s="259"/>
      <c r="BW677" s="259"/>
      <c r="BX677" s="259"/>
      <c r="BY677" s="259"/>
      <c r="BZ677" s="260"/>
      <c r="CA677" s="259"/>
      <c r="CB677" s="259"/>
      <c r="CC677" s="259"/>
      <c r="CD677" s="259"/>
      <c r="CE677" s="259"/>
      <c r="CF677" s="259"/>
      <c r="CG677" s="259"/>
      <c r="CH677" s="259"/>
      <c r="CI677" s="259"/>
      <c r="CJ677" s="259"/>
      <c r="CK677" s="259"/>
      <c r="CL677" s="259"/>
      <c r="CM677" s="259"/>
      <c r="CN677" s="259"/>
      <c r="CO677" s="259"/>
      <c r="CP677" s="259"/>
      <c r="CQ677" s="259"/>
      <c r="CR677" s="259"/>
      <c r="CS677" s="259"/>
      <c r="CT677" s="259"/>
      <c r="CU677" s="259"/>
      <c r="CV677" s="259"/>
      <c r="CW677" s="259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30"/>
      <c r="BN678" s="30"/>
      <c r="BO678" s="259"/>
      <c r="BP678" s="259"/>
      <c r="BQ678" s="259"/>
      <c r="BR678" s="259"/>
      <c r="BS678" s="259"/>
      <c r="BT678" s="259"/>
      <c r="BU678" s="259"/>
      <c r="BV678" s="259"/>
      <c r="BW678" s="259"/>
      <c r="BX678" s="259"/>
      <c r="BY678" s="259"/>
      <c r="BZ678" s="260"/>
      <c r="CA678" s="259"/>
      <c r="CB678" s="259"/>
      <c r="CC678" s="259"/>
      <c r="CD678" s="259"/>
      <c r="CE678" s="259"/>
      <c r="CF678" s="259"/>
      <c r="CG678" s="259"/>
      <c r="CH678" s="259"/>
      <c r="CI678" s="259"/>
      <c r="CJ678" s="259"/>
      <c r="CK678" s="259"/>
      <c r="CL678" s="259"/>
      <c r="CM678" s="259"/>
      <c r="CN678" s="259"/>
      <c r="CO678" s="259"/>
      <c r="CP678" s="259"/>
      <c r="CQ678" s="259"/>
      <c r="CR678" s="259"/>
      <c r="CS678" s="259"/>
      <c r="CT678" s="259"/>
      <c r="CU678" s="259"/>
      <c r="CV678" s="259"/>
      <c r="CW678" s="259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  <c r="BN679" s="30"/>
      <c r="BO679" s="259"/>
      <c r="BP679" s="259"/>
      <c r="BQ679" s="259"/>
      <c r="BR679" s="259"/>
      <c r="BS679" s="259"/>
      <c r="BT679" s="259"/>
      <c r="BU679" s="259"/>
      <c r="BV679" s="259"/>
      <c r="BW679" s="259"/>
      <c r="BX679" s="259"/>
      <c r="BY679" s="259"/>
      <c r="BZ679" s="260"/>
      <c r="CA679" s="259"/>
      <c r="CB679" s="259"/>
      <c r="CC679" s="259"/>
      <c r="CD679" s="259"/>
      <c r="CE679" s="259"/>
      <c r="CF679" s="259"/>
      <c r="CG679" s="259"/>
      <c r="CH679" s="259"/>
      <c r="CI679" s="259"/>
      <c r="CJ679" s="259"/>
      <c r="CK679" s="259"/>
      <c r="CL679" s="259"/>
      <c r="CM679" s="259"/>
      <c r="CN679" s="259"/>
      <c r="CO679" s="259"/>
      <c r="CP679" s="259"/>
      <c r="CQ679" s="259"/>
      <c r="CR679" s="259"/>
      <c r="CS679" s="259"/>
      <c r="CT679" s="259"/>
      <c r="CU679" s="259"/>
      <c r="CV679" s="259"/>
      <c r="CW679" s="259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  <c r="BN680" s="30"/>
      <c r="BO680" s="259"/>
      <c r="BP680" s="259"/>
      <c r="BQ680" s="259"/>
      <c r="BR680" s="259"/>
      <c r="BS680" s="259"/>
      <c r="BT680" s="259"/>
      <c r="BU680" s="259"/>
      <c r="BV680" s="259"/>
      <c r="BW680" s="259"/>
      <c r="BX680" s="259"/>
      <c r="BY680" s="259"/>
      <c r="BZ680" s="260"/>
      <c r="CA680" s="259"/>
      <c r="CB680" s="259"/>
      <c r="CC680" s="259"/>
      <c r="CD680" s="259"/>
      <c r="CE680" s="259"/>
      <c r="CF680" s="259"/>
      <c r="CG680" s="259"/>
      <c r="CH680" s="259"/>
      <c r="CI680" s="259"/>
      <c r="CJ680" s="259"/>
      <c r="CK680" s="259"/>
      <c r="CL680" s="259"/>
      <c r="CM680" s="259"/>
      <c r="CN680" s="259"/>
      <c r="CO680" s="259"/>
      <c r="CP680" s="259"/>
      <c r="CQ680" s="259"/>
      <c r="CR680" s="259"/>
      <c r="CS680" s="259"/>
      <c r="CT680" s="259"/>
      <c r="CU680" s="259"/>
      <c r="CV680" s="259"/>
      <c r="CW680" s="259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259"/>
      <c r="BP681" s="259"/>
      <c r="BQ681" s="259"/>
      <c r="BR681" s="259"/>
      <c r="BS681" s="259"/>
      <c r="BT681" s="259"/>
      <c r="BU681" s="259"/>
      <c r="BV681" s="259"/>
      <c r="BW681" s="259"/>
      <c r="BX681" s="259"/>
      <c r="BY681" s="259"/>
      <c r="BZ681" s="260"/>
      <c r="CA681" s="259"/>
      <c r="CB681" s="259"/>
      <c r="CC681" s="259"/>
      <c r="CD681" s="259"/>
      <c r="CE681" s="259"/>
      <c r="CF681" s="259"/>
      <c r="CG681" s="259"/>
      <c r="CH681" s="259"/>
      <c r="CI681" s="259"/>
      <c r="CJ681" s="259"/>
      <c r="CK681" s="259"/>
      <c r="CL681" s="259"/>
      <c r="CM681" s="259"/>
      <c r="CN681" s="259"/>
      <c r="CO681" s="259"/>
      <c r="CP681" s="259"/>
      <c r="CQ681" s="259"/>
      <c r="CR681" s="259"/>
      <c r="CS681" s="259"/>
      <c r="CT681" s="259"/>
      <c r="CU681" s="259"/>
      <c r="CV681" s="259"/>
      <c r="CW681" s="259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30"/>
      <c r="BN682" s="30"/>
      <c r="BO682" s="259"/>
      <c r="BP682" s="259"/>
      <c r="BQ682" s="259"/>
      <c r="BR682" s="259"/>
      <c r="BS682" s="259"/>
      <c r="BT682" s="259"/>
      <c r="BU682" s="259"/>
      <c r="BV682" s="259"/>
      <c r="BW682" s="259"/>
      <c r="BX682" s="259"/>
      <c r="BY682" s="259"/>
      <c r="BZ682" s="260"/>
      <c r="CA682" s="259"/>
      <c r="CB682" s="259"/>
      <c r="CC682" s="259"/>
      <c r="CD682" s="259"/>
      <c r="CE682" s="259"/>
      <c r="CF682" s="259"/>
      <c r="CG682" s="259"/>
      <c r="CH682" s="259"/>
      <c r="CI682" s="259"/>
      <c r="CJ682" s="259"/>
      <c r="CK682" s="259"/>
      <c r="CL682" s="259"/>
      <c r="CM682" s="259"/>
      <c r="CN682" s="259"/>
      <c r="CO682" s="259"/>
      <c r="CP682" s="259"/>
      <c r="CQ682" s="259"/>
      <c r="CR682" s="259"/>
      <c r="CS682" s="259"/>
      <c r="CT682" s="259"/>
      <c r="CU682" s="259"/>
      <c r="CV682" s="259"/>
      <c r="CW682" s="259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30"/>
      <c r="BL683" s="30"/>
      <c r="BM683" s="30"/>
      <c r="BN683" s="30"/>
      <c r="BO683" s="259"/>
      <c r="BP683" s="259"/>
      <c r="BQ683" s="259"/>
      <c r="BR683" s="259"/>
      <c r="BS683" s="259"/>
      <c r="BT683" s="259"/>
      <c r="BU683" s="259"/>
      <c r="BV683" s="259"/>
      <c r="BW683" s="259"/>
      <c r="BX683" s="259"/>
      <c r="BY683" s="259"/>
      <c r="BZ683" s="260"/>
      <c r="CA683" s="259"/>
      <c r="CB683" s="259"/>
      <c r="CC683" s="259"/>
      <c r="CD683" s="259"/>
      <c r="CE683" s="259"/>
      <c r="CF683" s="259"/>
      <c r="CG683" s="259"/>
      <c r="CH683" s="259"/>
      <c r="CI683" s="259"/>
      <c r="CJ683" s="259"/>
      <c r="CK683" s="259"/>
      <c r="CL683" s="259"/>
      <c r="CM683" s="259"/>
      <c r="CN683" s="259"/>
      <c r="CO683" s="259"/>
      <c r="CP683" s="259"/>
      <c r="CQ683" s="259"/>
      <c r="CR683" s="259"/>
      <c r="CS683" s="259"/>
      <c r="CT683" s="259"/>
      <c r="CU683" s="259"/>
      <c r="CV683" s="259"/>
      <c r="CW683" s="259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/>
      <c r="BM684" s="30"/>
      <c r="BN684" s="30"/>
      <c r="BO684" s="259"/>
      <c r="BP684" s="259"/>
      <c r="BQ684" s="259"/>
      <c r="BR684" s="259"/>
      <c r="BS684" s="259"/>
      <c r="BT684" s="259"/>
      <c r="BU684" s="259"/>
      <c r="BV684" s="259"/>
      <c r="BW684" s="259"/>
      <c r="BX684" s="259"/>
      <c r="BY684" s="259"/>
      <c r="BZ684" s="260"/>
      <c r="CA684" s="259"/>
      <c r="CB684" s="259"/>
      <c r="CC684" s="259"/>
      <c r="CD684" s="259"/>
      <c r="CE684" s="259"/>
      <c r="CF684" s="259"/>
      <c r="CG684" s="259"/>
      <c r="CH684" s="259"/>
      <c r="CI684" s="259"/>
      <c r="CJ684" s="259"/>
      <c r="CK684" s="259"/>
      <c r="CL684" s="259"/>
      <c r="CM684" s="259"/>
      <c r="CN684" s="259"/>
      <c r="CO684" s="259"/>
      <c r="CP684" s="259"/>
      <c r="CQ684" s="259"/>
      <c r="CR684" s="259"/>
      <c r="CS684" s="259"/>
      <c r="CT684" s="259"/>
      <c r="CU684" s="259"/>
      <c r="CV684" s="259"/>
      <c r="CW684" s="259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/>
      <c r="BM685" s="30"/>
      <c r="BN685" s="30"/>
      <c r="BO685" s="259"/>
      <c r="BP685" s="259"/>
      <c r="BQ685" s="259"/>
      <c r="BR685" s="259"/>
      <c r="BS685" s="259"/>
      <c r="BT685" s="259"/>
      <c r="BU685" s="259"/>
      <c r="BV685" s="259"/>
      <c r="BW685" s="259"/>
      <c r="BX685" s="259"/>
      <c r="BY685" s="259"/>
      <c r="BZ685" s="260"/>
      <c r="CA685" s="259"/>
      <c r="CB685" s="259"/>
      <c r="CC685" s="259"/>
      <c r="CD685" s="259"/>
      <c r="CE685" s="259"/>
      <c r="CF685" s="259"/>
      <c r="CG685" s="259"/>
      <c r="CH685" s="259"/>
      <c r="CI685" s="259"/>
      <c r="CJ685" s="259"/>
      <c r="CK685" s="259"/>
      <c r="CL685" s="259"/>
      <c r="CM685" s="259"/>
      <c r="CN685" s="259"/>
      <c r="CO685" s="259"/>
      <c r="CP685" s="259"/>
      <c r="CQ685" s="259"/>
      <c r="CR685" s="259"/>
      <c r="CS685" s="259"/>
      <c r="CT685" s="259"/>
      <c r="CU685" s="259"/>
      <c r="CV685" s="259"/>
      <c r="CW685" s="259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  <c r="BN686" s="30"/>
      <c r="BO686" s="259"/>
      <c r="BP686" s="259"/>
      <c r="BQ686" s="259"/>
      <c r="BR686" s="259"/>
      <c r="BS686" s="259"/>
      <c r="BT686" s="259"/>
      <c r="BU686" s="259"/>
      <c r="BV686" s="259"/>
      <c r="BW686" s="259"/>
      <c r="BX686" s="259"/>
      <c r="BY686" s="259"/>
      <c r="BZ686" s="260"/>
      <c r="CA686" s="259"/>
      <c r="CB686" s="259"/>
      <c r="CC686" s="259"/>
      <c r="CD686" s="259"/>
      <c r="CE686" s="259"/>
      <c r="CF686" s="259"/>
      <c r="CG686" s="259"/>
      <c r="CH686" s="259"/>
      <c r="CI686" s="259"/>
      <c r="CJ686" s="259"/>
      <c r="CK686" s="259"/>
      <c r="CL686" s="259"/>
      <c r="CM686" s="259"/>
      <c r="CN686" s="259"/>
      <c r="CO686" s="259"/>
      <c r="CP686" s="259"/>
      <c r="CQ686" s="259"/>
      <c r="CR686" s="259"/>
      <c r="CS686" s="259"/>
      <c r="CT686" s="259"/>
      <c r="CU686" s="259"/>
      <c r="CV686" s="259"/>
      <c r="CW686" s="259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/>
      <c r="BM687" s="30"/>
      <c r="BN687" s="30"/>
      <c r="BO687" s="259"/>
      <c r="BP687" s="259"/>
      <c r="BQ687" s="259"/>
      <c r="BR687" s="259"/>
      <c r="BS687" s="259"/>
      <c r="BT687" s="259"/>
      <c r="BU687" s="259"/>
      <c r="BV687" s="259"/>
      <c r="BW687" s="259"/>
      <c r="BX687" s="259"/>
      <c r="BY687" s="259"/>
      <c r="BZ687" s="260"/>
      <c r="CA687" s="259"/>
      <c r="CB687" s="259"/>
      <c r="CC687" s="259"/>
      <c r="CD687" s="259"/>
      <c r="CE687" s="259"/>
      <c r="CF687" s="259"/>
      <c r="CG687" s="259"/>
      <c r="CH687" s="259"/>
      <c r="CI687" s="259"/>
      <c r="CJ687" s="259"/>
      <c r="CK687" s="259"/>
      <c r="CL687" s="259"/>
      <c r="CM687" s="259"/>
      <c r="CN687" s="259"/>
      <c r="CO687" s="259"/>
      <c r="CP687" s="259"/>
      <c r="CQ687" s="259"/>
      <c r="CR687" s="259"/>
      <c r="CS687" s="259"/>
      <c r="CT687" s="259"/>
      <c r="CU687" s="259"/>
      <c r="CV687" s="259"/>
      <c r="CW687" s="259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/>
      <c r="BM688" s="30"/>
      <c r="BN688" s="30"/>
      <c r="BO688" s="259"/>
      <c r="BP688" s="259"/>
      <c r="BQ688" s="259"/>
      <c r="BR688" s="259"/>
      <c r="BS688" s="259"/>
      <c r="BT688" s="259"/>
      <c r="BU688" s="259"/>
      <c r="BV688" s="259"/>
      <c r="BW688" s="259"/>
      <c r="BX688" s="259"/>
      <c r="BY688" s="259"/>
      <c r="BZ688" s="260"/>
      <c r="CA688" s="259"/>
      <c r="CB688" s="259"/>
      <c r="CC688" s="259"/>
      <c r="CD688" s="259"/>
      <c r="CE688" s="259"/>
      <c r="CF688" s="259"/>
      <c r="CG688" s="259"/>
      <c r="CH688" s="259"/>
      <c r="CI688" s="259"/>
      <c r="CJ688" s="259"/>
      <c r="CK688" s="259"/>
      <c r="CL688" s="259"/>
      <c r="CM688" s="259"/>
      <c r="CN688" s="259"/>
      <c r="CO688" s="259"/>
      <c r="CP688" s="259"/>
      <c r="CQ688" s="259"/>
      <c r="CR688" s="259"/>
      <c r="CS688" s="259"/>
      <c r="CT688" s="259"/>
      <c r="CU688" s="259"/>
      <c r="CV688" s="259"/>
      <c r="CW688" s="259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/>
      <c r="BM689" s="30"/>
      <c r="BN689" s="30"/>
      <c r="BO689" s="259"/>
      <c r="BP689" s="259"/>
      <c r="BQ689" s="259"/>
      <c r="BR689" s="259"/>
      <c r="BS689" s="259"/>
      <c r="BT689" s="259"/>
      <c r="BU689" s="259"/>
      <c r="BV689" s="259"/>
      <c r="BW689" s="259"/>
      <c r="BX689" s="259"/>
      <c r="BY689" s="259"/>
      <c r="BZ689" s="260"/>
      <c r="CA689" s="259"/>
      <c r="CB689" s="259"/>
      <c r="CC689" s="259"/>
      <c r="CD689" s="259"/>
      <c r="CE689" s="259"/>
      <c r="CF689" s="259"/>
      <c r="CG689" s="259"/>
      <c r="CH689" s="259"/>
      <c r="CI689" s="259"/>
      <c r="CJ689" s="259"/>
      <c r="CK689" s="259"/>
      <c r="CL689" s="259"/>
      <c r="CM689" s="259"/>
      <c r="CN689" s="259"/>
      <c r="CO689" s="259"/>
      <c r="CP689" s="259"/>
      <c r="CQ689" s="259"/>
      <c r="CR689" s="259"/>
      <c r="CS689" s="259"/>
      <c r="CT689" s="259"/>
      <c r="CU689" s="259"/>
      <c r="CV689" s="259"/>
      <c r="CW689" s="259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/>
      <c r="BM690" s="30"/>
      <c r="BN690" s="30"/>
      <c r="BO690" s="259"/>
      <c r="BP690" s="259"/>
      <c r="BQ690" s="259"/>
      <c r="BR690" s="259"/>
      <c r="BS690" s="259"/>
      <c r="BT690" s="259"/>
      <c r="BU690" s="259"/>
      <c r="BV690" s="259"/>
      <c r="BW690" s="259"/>
      <c r="BX690" s="259"/>
      <c r="BY690" s="259"/>
      <c r="BZ690" s="260"/>
      <c r="CA690" s="259"/>
      <c r="CB690" s="259"/>
      <c r="CC690" s="259"/>
      <c r="CD690" s="259"/>
      <c r="CE690" s="259"/>
      <c r="CF690" s="259"/>
      <c r="CG690" s="259"/>
      <c r="CH690" s="259"/>
      <c r="CI690" s="259"/>
      <c r="CJ690" s="259"/>
      <c r="CK690" s="259"/>
      <c r="CL690" s="259"/>
      <c r="CM690" s="259"/>
      <c r="CN690" s="259"/>
      <c r="CO690" s="259"/>
      <c r="CP690" s="259"/>
      <c r="CQ690" s="259"/>
      <c r="CR690" s="259"/>
      <c r="CS690" s="259"/>
      <c r="CT690" s="259"/>
      <c r="CU690" s="259"/>
      <c r="CV690" s="259"/>
      <c r="CW690" s="259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  <c r="BN691" s="30"/>
      <c r="BO691" s="259"/>
      <c r="BP691" s="259"/>
      <c r="BQ691" s="259"/>
      <c r="BR691" s="259"/>
      <c r="BS691" s="259"/>
      <c r="BT691" s="259"/>
      <c r="BU691" s="259"/>
      <c r="BV691" s="259"/>
      <c r="BW691" s="259"/>
      <c r="BX691" s="259"/>
      <c r="BY691" s="259"/>
      <c r="BZ691" s="260"/>
      <c r="CA691" s="259"/>
      <c r="CB691" s="259"/>
      <c r="CC691" s="259"/>
      <c r="CD691" s="259"/>
      <c r="CE691" s="259"/>
      <c r="CF691" s="259"/>
      <c r="CG691" s="259"/>
      <c r="CH691" s="259"/>
      <c r="CI691" s="259"/>
      <c r="CJ691" s="259"/>
      <c r="CK691" s="259"/>
      <c r="CL691" s="259"/>
      <c r="CM691" s="259"/>
      <c r="CN691" s="259"/>
      <c r="CO691" s="259"/>
      <c r="CP691" s="259"/>
      <c r="CQ691" s="259"/>
      <c r="CR691" s="259"/>
      <c r="CS691" s="259"/>
      <c r="CT691" s="259"/>
      <c r="CU691" s="259"/>
      <c r="CV691" s="259"/>
      <c r="CW691" s="259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/>
      <c r="BM692" s="30"/>
      <c r="BN692" s="30"/>
      <c r="BO692" s="259"/>
      <c r="BP692" s="259"/>
      <c r="BQ692" s="259"/>
      <c r="BR692" s="259"/>
      <c r="BS692" s="259"/>
      <c r="BT692" s="259"/>
      <c r="BU692" s="259"/>
      <c r="BV692" s="259"/>
      <c r="BW692" s="259"/>
      <c r="BX692" s="259"/>
      <c r="BY692" s="259"/>
      <c r="BZ692" s="260"/>
      <c r="CA692" s="259"/>
      <c r="CB692" s="259"/>
      <c r="CC692" s="259"/>
      <c r="CD692" s="259"/>
      <c r="CE692" s="259"/>
      <c r="CF692" s="259"/>
      <c r="CG692" s="259"/>
      <c r="CH692" s="259"/>
      <c r="CI692" s="259"/>
      <c r="CJ692" s="259"/>
      <c r="CK692" s="259"/>
      <c r="CL692" s="259"/>
      <c r="CM692" s="259"/>
      <c r="CN692" s="259"/>
      <c r="CO692" s="259"/>
      <c r="CP692" s="259"/>
      <c r="CQ692" s="259"/>
      <c r="CR692" s="259"/>
      <c r="CS692" s="259"/>
      <c r="CT692" s="259"/>
      <c r="CU692" s="259"/>
      <c r="CV692" s="259"/>
      <c r="CW692" s="259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/>
      <c r="BM693" s="30"/>
      <c r="BN693" s="30"/>
      <c r="BO693" s="259"/>
      <c r="BP693" s="259"/>
      <c r="BQ693" s="259"/>
      <c r="BR693" s="259"/>
      <c r="BS693" s="259"/>
      <c r="BT693" s="259"/>
      <c r="BU693" s="259"/>
      <c r="BV693" s="259"/>
      <c r="BW693" s="259"/>
      <c r="BX693" s="259"/>
      <c r="BY693" s="259"/>
      <c r="BZ693" s="260"/>
      <c r="CA693" s="259"/>
      <c r="CB693" s="259"/>
      <c r="CC693" s="259"/>
      <c r="CD693" s="259"/>
      <c r="CE693" s="259"/>
      <c r="CF693" s="259"/>
      <c r="CG693" s="259"/>
      <c r="CH693" s="259"/>
      <c r="CI693" s="259"/>
      <c r="CJ693" s="259"/>
      <c r="CK693" s="259"/>
      <c r="CL693" s="259"/>
      <c r="CM693" s="259"/>
      <c r="CN693" s="259"/>
      <c r="CO693" s="259"/>
      <c r="CP693" s="259"/>
      <c r="CQ693" s="259"/>
      <c r="CR693" s="259"/>
      <c r="CS693" s="259"/>
      <c r="CT693" s="259"/>
      <c r="CU693" s="259"/>
      <c r="CV693" s="259"/>
      <c r="CW693" s="259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/>
      <c r="BM694" s="30"/>
      <c r="BN694" s="30"/>
      <c r="BO694" s="259"/>
      <c r="BP694" s="259"/>
      <c r="BQ694" s="259"/>
      <c r="BR694" s="259"/>
      <c r="BS694" s="259"/>
      <c r="BT694" s="259"/>
      <c r="BU694" s="259"/>
      <c r="BV694" s="259"/>
      <c r="BW694" s="259"/>
      <c r="BX694" s="259"/>
      <c r="BY694" s="259"/>
      <c r="BZ694" s="260"/>
      <c r="CA694" s="259"/>
      <c r="CB694" s="259"/>
      <c r="CC694" s="259"/>
      <c r="CD694" s="259"/>
      <c r="CE694" s="259"/>
      <c r="CF694" s="259"/>
      <c r="CG694" s="259"/>
      <c r="CH694" s="259"/>
      <c r="CI694" s="259"/>
      <c r="CJ694" s="259"/>
      <c r="CK694" s="259"/>
      <c r="CL694" s="259"/>
      <c r="CM694" s="259"/>
      <c r="CN694" s="259"/>
      <c r="CO694" s="259"/>
      <c r="CP694" s="259"/>
      <c r="CQ694" s="259"/>
      <c r="CR694" s="259"/>
      <c r="CS694" s="259"/>
      <c r="CT694" s="259"/>
      <c r="CU694" s="259"/>
      <c r="CV694" s="259"/>
      <c r="CW694" s="259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259"/>
      <c r="BP695" s="259"/>
      <c r="BQ695" s="259"/>
      <c r="BR695" s="259"/>
      <c r="BS695" s="259"/>
      <c r="BT695" s="259"/>
      <c r="BU695" s="259"/>
      <c r="BV695" s="259"/>
      <c r="BW695" s="259"/>
      <c r="BX695" s="259"/>
      <c r="BY695" s="259"/>
      <c r="BZ695" s="260"/>
      <c r="CA695" s="259"/>
      <c r="CB695" s="259"/>
      <c r="CC695" s="259"/>
      <c r="CD695" s="259"/>
      <c r="CE695" s="259"/>
      <c r="CF695" s="259"/>
      <c r="CG695" s="259"/>
      <c r="CH695" s="259"/>
      <c r="CI695" s="259"/>
      <c r="CJ695" s="259"/>
      <c r="CK695" s="259"/>
      <c r="CL695" s="259"/>
      <c r="CM695" s="259"/>
      <c r="CN695" s="259"/>
      <c r="CO695" s="259"/>
      <c r="CP695" s="259"/>
      <c r="CQ695" s="259"/>
      <c r="CR695" s="259"/>
      <c r="CS695" s="259"/>
      <c r="CT695" s="259"/>
      <c r="CU695" s="259"/>
      <c r="CV695" s="259"/>
      <c r="CW695" s="259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/>
      <c r="BM696" s="30"/>
      <c r="BN696" s="30"/>
      <c r="BO696" s="259"/>
      <c r="BP696" s="259"/>
      <c r="BQ696" s="259"/>
      <c r="BR696" s="259"/>
      <c r="BS696" s="259"/>
      <c r="BT696" s="259"/>
      <c r="BU696" s="259"/>
      <c r="BV696" s="259"/>
      <c r="BW696" s="259"/>
      <c r="BX696" s="259"/>
      <c r="BY696" s="259"/>
      <c r="BZ696" s="260"/>
      <c r="CA696" s="259"/>
      <c r="CB696" s="259"/>
      <c r="CC696" s="259"/>
      <c r="CD696" s="259"/>
      <c r="CE696" s="259"/>
      <c r="CF696" s="259"/>
      <c r="CG696" s="259"/>
      <c r="CH696" s="259"/>
      <c r="CI696" s="259"/>
      <c r="CJ696" s="259"/>
      <c r="CK696" s="259"/>
      <c r="CL696" s="259"/>
      <c r="CM696" s="259"/>
      <c r="CN696" s="259"/>
      <c r="CO696" s="259"/>
      <c r="CP696" s="259"/>
      <c r="CQ696" s="259"/>
      <c r="CR696" s="259"/>
      <c r="CS696" s="259"/>
      <c r="CT696" s="259"/>
      <c r="CU696" s="259"/>
      <c r="CV696" s="259"/>
      <c r="CW696" s="259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30"/>
      <c r="BN697" s="30"/>
      <c r="BO697" s="259"/>
      <c r="BP697" s="259"/>
      <c r="BQ697" s="259"/>
      <c r="BR697" s="259"/>
      <c r="BS697" s="259"/>
      <c r="BT697" s="259"/>
      <c r="BU697" s="259"/>
      <c r="BV697" s="259"/>
      <c r="BW697" s="259"/>
      <c r="BX697" s="259"/>
      <c r="BY697" s="259"/>
      <c r="BZ697" s="260"/>
      <c r="CA697" s="259"/>
      <c r="CB697" s="259"/>
      <c r="CC697" s="259"/>
      <c r="CD697" s="259"/>
      <c r="CE697" s="259"/>
      <c r="CF697" s="259"/>
      <c r="CG697" s="259"/>
      <c r="CH697" s="259"/>
      <c r="CI697" s="259"/>
      <c r="CJ697" s="259"/>
      <c r="CK697" s="259"/>
      <c r="CL697" s="259"/>
      <c r="CM697" s="259"/>
      <c r="CN697" s="259"/>
      <c r="CO697" s="259"/>
      <c r="CP697" s="259"/>
      <c r="CQ697" s="259"/>
      <c r="CR697" s="259"/>
      <c r="CS697" s="259"/>
      <c r="CT697" s="259"/>
      <c r="CU697" s="259"/>
      <c r="CV697" s="259"/>
      <c r="CW697" s="259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259"/>
      <c r="BP698" s="259"/>
      <c r="BQ698" s="259"/>
      <c r="BR698" s="259"/>
      <c r="BS698" s="259"/>
      <c r="BT698" s="259"/>
      <c r="BU698" s="259"/>
      <c r="BV698" s="259"/>
      <c r="BW698" s="259"/>
      <c r="BX698" s="259"/>
      <c r="BY698" s="259"/>
      <c r="BZ698" s="260"/>
      <c r="CA698" s="259"/>
      <c r="CB698" s="259"/>
      <c r="CC698" s="259"/>
      <c r="CD698" s="259"/>
      <c r="CE698" s="259"/>
      <c r="CF698" s="259"/>
      <c r="CG698" s="259"/>
      <c r="CH698" s="259"/>
      <c r="CI698" s="259"/>
      <c r="CJ698" s="259"/>
      <c r="CK698" s="259"/>
      <c r="CL698" s="259"/>
      <c r="CM698" s="259"/>
      <c r="CN698" s="259"/>
      <c r="CO698" s="259"/>
      <c r="CP698" s="259"/>
      <c r="CQ698" s="259"/>
      <c r="CR698" s="259"/>
      <c r="CS698" s="259"/>
      <c r="CT698" s="259"/>
      <c r="CU698" s="259"/>
      <c r="CV698" s="259"/>
      <c r="CW698" s="259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  <c r="BJ699" s="30"/>
      <c r="BK699" s="30"/>
      <c r="BL699" s="30"/>
      <c r="BM699" s="30"/>
      <c r="BN699" s="30"/>
      <c r="BO699" s="259"/>
      <c r="BP699" s="259"/>
      <c r="BQ699" s="259"/>
      <c r="BR699" s="259"/>
      <c r="BS699" s="259"/>
      <c r="BT699" s="259"/>
      <c r="BU699" s="259"/>
      <c r="BV699" s="259"/>
      <c r="BW699" s="259"/>
      <c r="BX699" s="259"/>
      <c r="BY699" s="259"/>
      <c r="BZ699" s="260"/>
      <c r="CA699" s="259"/>
      <c r="CB699" s="259"/>
      <c r="CC699" s="259"/>
      <c r="CD699" s="259"/>
      <c r="CE699" s="259"/>
      <c r="CF699" s="259"/>
      <c r="CG699" s="259"/>
      <c r="CH699" s="259"/>
      <c r="CI699" s="259"/>
      <c r="CJ699" s="259"/>
      <c r="CK699" s="259"/>
      <c r="CL699" s="259"/>
      <c r="CM699" s="259"/>
      <c r="CN699" s="259"/>
      <c r="CO699" s="259"/>
      <c r="CP699" s="259"/>
      <c r="CQ699" s="259"/>
      <c r="CR699" s="259"/>
      <c r="CS699" s="259"/>
      <c r="CT699" s="259"/>
      <c r="CU699" s="259"/>
      <c r="CV699" s="259"/>
      <c r="CW699" s="259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  <c r="BJ700" s="30"/>
      <c r="BK700" s="30"/>
      <c r="BL700" s="30"/>
      <c r="BM700" s="30"/>
      <c r="BN700" s="30"/>
      <c r="BO700" s="259"/>
      <c r="BP700" s="259"/>
      <c r="BQ700" s="259"/>
      <c r="BR700" s="259"/>
      <c r="BS700" s="259"/>
      <c r="BT700" s="259"/>
      <c r="BU700" s="259"/>
      <c r="BV700" s="259"/>
      <c r="BW700" s="259"/>
      <c r="BX700" s="259"/>
      <c r="BY700" s="259"/>
      <c r="BZ700" s="260"/>
      <c r="CA700" s="259"/>
      <c r="CB700" s="259"/>
      <c r="CC700" s="259"/>
      <c r="CD700" s="259"/>
      <c r="CE700" s="259"/>
      <c r="CF700" s="259"/>
      <c r="CG700" s="259"/>
      <c r="CH700" s="259"/>
      <c r="CI700" s="259"/>
      <c r="CJ700" s="259"/>
      <c r="CK700" s="259"/>
      <c r="CL700" s="259"/>
      <c r="CM700" s="259"/>
      <c r="CN700" s="259"/>
      <c r="CO700" s="259"/>
      <c r="CP700" s="259"/>
      <c r="CQ700" s="259"/>
      <c r="CR700" s="259"/>
      <c r="CS700" s="259"/>
      <c r="CT700" s="259"/>
      <c r="CU700" s="259"/>
      <c r="CV700" s="259"/>
      <c r="CW700" s="259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259"/>
      <c r="BP701" s="259"/>
      <c r="BQ701" s="259"/>
      <c r="BR701" s="259"/>
      <c r="BS701" s="259"/>
      <c r="BT701" s="259"/>
      <c r="BU701" s="259"/>
      <c r="BV701" s="259"/>
      <c r="BW701" s="259"/>
      <c r="BX701" s="259"/>
      <c r="BY701" s="259"/>
      <c r="BZ701" s="260"/>
      <c r="CA701" s="259"/>
      <c r="CB701" s="259"/>
      <c r="CC701" s="259"/>
      <c r="CD701" s="259"/>
      <c r="CE701" s="259"/>
      <c r="CF701" s="259"/>
      <c r="CG701" s="259"/>
      <c r="CH701" s="259"/>
      <c r="CI701" s="259"/>
      <c r="CJ701" s="259"/>
      <c r="CK701" s="259"/>
      <c r="CL701" s="259"/>
      <c r="CM701" s="259"/>
      <c r="CN701" s="259"/>
      <c r="CO701" s="259"/>
      <c r="CP701" s="259"/>
      <c r="CQ701" s="259"/>
      <c r="CR701" s="259"/>
      <c r="CS701" s="259"/>
      <c r="CT701" s="259"/>
      <c r="CU701" s="259"/>
      <c r="CV701" s="259"/>
      <c r="CW701" s="259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  <c r="BJ702" s="30"/>
      <c r="BK702" s="30"/>
      <c r="BL702" s="30"/>
      <c r="BM702" s="30"/>
      <c r="BN702" s="30"/>
      <c r="BO702" s="259"/>
      <c r="BP702" s="259"/>
      <c r="BQ702" s="259"/>
      <c r="BR702" s="259"/>
      <c r="BS702" s="259"/>
      <c r="BT702" s="259"/>
      <c r="BU702" s="259"/>
      <c r="BV702" s="259"/>
      <c r="BW702" s="259"/>
      <c r="BX702" s="259"/>
      <c r="BY702" s="259"/>
      <c r="BZ702" s="260"/>
      <c r="CA702" s="259"/>
      <c r="CB702" s="259"/>
      <c r="CC702" s="259"/>
      <c r="CD702" s="259"/>
      <c r="CE702" s="259"/>
      <c r="CF702" s="259"/>
      <c r="CG702" s="259"/>
      <c r="CH702" s="259"/>
      <c r="CI702" s="259"/>
      <c r="CJ702" s="259"/>
      <c r="CK702" s="259"/>
      <c r="CL702" s="259"/>
      <c r="CM702" s="259"/>
      <c r="CN702" s="259"/>
      <c r="CO702" s="259"/>
      <c r="CP702" s="259"/>
      <c r="CQ702" s="259"/>
      <c r="CR702" s="259"/>
      <c r="CS702" s="259"/>
      <c r="CT702" s="259"/>
      <c r="CU702" s="259"/>
      <c r="CV702" s="259"/>
      <c r="CW702" s="259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  <c r="BI703" s="30"/>
      <c r="BJ703" s="30"/>
      <c r="BK703" s="30"/>
      <c r="BL703" s="30"/>
      <c r="BM703" s="30"/>
      <c r="BN703" s="30"/>
      <c r="BO703" s="259"/>
      <c r="BP703" s="259"/>
      <c r="BQ703" s="259"/>
      <c r="BR703" s="259"/>
      <c r="BS703" s="259"/>
      <c r="BT703" s="259"/>
      <c r="BU703" s="259"/>
      <c r="BV703" s="259"/>
      <c r="BW703" s="259"/>
      <c r="BX703" s="259"/>
      <c r="BY703" s="259"/>
      <c r="BZ703" s="260"/>
      <c r="CA703" s="259"/>
      <c r="CB703" s="259"/>
      <c r="CC703" s="259"/>
      <c r="CD703" s="259"/>
      <c r="CE703" s="259"/>
      <c r="CF703" s="259"/>
      <c r="CG703" s="259"/>
      <c r="CH703" s="259"/>
      <c r="CI703" s="259"/>
      <c r="CJ703" s="259"/>
      <c r="CK703" s="259"/>
      <c r="CL703" s="259"/>
      <c r="CM703" s="259"/>
      <c r="CN703" s="259"/>
      <c r="CO703" s="259"/>
      <c r="CP703" s="259"/>
      <c r="CQ703" s="259"/>
      <c r="CR703" s="259"/>
      <c r="CS703" s="259"/>
      <c r="CT703" s="259"/>
      <c r="CU703" s="259"/>
      <c r="CV703" s="259"/>
      <c r="CW703" s="259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  <c r="BI704" s="30"/>
      <c r="BJ704" s="30"/>
      <c r="BK704" s="30"/>
      <c r="BL704" s="30"/>
      <c r="BM704" s="30"/>
      <c r="BN704" s="30"/>
      <c r="BO704" s="259"/>
      <c r="BP704" s="259"/>
      <c r="BQ704" s="259"/>
      <c r="BR704" s="259"/>
      <c r="BS704" s="259"/>
      <c r="BT704" s="259"/>
      <c r="BU704" s="259"/>
      <c r="BV704" s="259"/>
      <c r="BW704" s="259"/>
      <c r="BX704" s="259"/>
      <c r="BY704" s="259"/>
      <c r="BZ704" s="260"/>
      <c r="CA704" s="259"/>
      <c r="CB704" s="259"/>
      <c r="CC704" s="259"/>
      <c r="CD704" s="259"/>
      <c r="CE704" s="259"/>
      <c r="CF704" s="259"/>
      <c r="CG704" s="259"/>
      <c r="CH704" s="259"/>
      <c r="CI704" s="259"/>
      <c r="CJ704" s="259"/>
      <c r="CK704" s="259"/>
      <c r="CL704" s="259"/>
      <c r="CM704" s="259"/>
      <c r="CN704" s="259"/>
      <c r="CO704" s="259"/>
      <c r="CP704" s="259"/>
      <c r="CQ704" s="259"/>
      <c r="CR704" s="259"/>
      <c r="CS704" s="259"/>
      <c r="CT704" s="259"/>
      <c r="CU704" s="259"/>
      <c r="CV704" s="259"/>
      <c r="CW704" s="259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  <c r="BI705" s="30"/>
      <c r="BJ705" s="30"/>
      <c r="BK705" s="30"/>
      <c r="BL705" s="30"/>
      <c r="BM705" s="30"/>
      <c r="BN705" s="30"/>
      <c r="BO705" s="259"/>
      <c r="BP705" s="259"/>
      <c r="BQ705" s="259"/>
      <c r="BR705" s="259"/>
      <c r="BS705" s="259"/>
      <c r="BT705" s="259"/>
      <c r="BU705" s="259"/>
      <c r="BV705" s="259"/>
      <c r="BW705" s="259"/>
      <c r="BX705" s="259"/>
      <c r="BY705" s="259"/>
      <c r="BZ705" s="260"/>
      <c r="CA705" s="259"/>
      <c r="CB705" s="259"/>
      <c r="CC705" s="259"/>
      <c r="CD705" s="259"/>
      <c r="CE705" s="259"/>
      <c r="CF705" s="259"/>
      <c r="CG705" s="259"/>
      <c r="CH705" s="259"/>
      <c r="CI705" s="259"/>
      <c r="CJ705" s="259"/>
      <c r="CK705" s="259"/>
      <c r="CL705" s="259"/>
      <c r="CM705" s="259"/>
      <c r="CN705" s="259"/>
      <c r="CO705" s="259"/>
      <c r="CP705" s="259"/>
      <c r="CQ705" s="259"/>
      <c r="CR705" s="259"/>
      <c r="CS705" s="259"/>
      <c r="CT705" s="259"/>
      <c r="CU705" s="259"/>
      <c r="CV705" s="259"/>
      <c r="CW705" s="259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  <c r="BI706" s="30"/>
      <c r="BJ706" s="30"/>
      <c r="BK706" s="30"/>
      <c r="BL706" s="30"/>
      <c r="BM706" s="30"/>
      <c r="BN706" s="30"/>
      <c r="BO706" s="259"/>
      <c r="BP706" s="259"/>
      <c r="BQ706" s="259"/>
      <c r="BR706" s="259"/>
      <c r="BS706" s="259"/>
      <c r="BT706" s="259"/>
      <c r="BU706" s="259"/>
      <c r="BV706" s="259"/>
      <c r="BW706" s="259"/>
      <c r="BX706" s="259"/>
      <c r="BY706" s="259"/>
      <c r="BZ706" s="260"/>
      <c r="CA706" s="259"/>
      <c r="CB706" s="259"/>
      <c r="CC706" s="259"/>
      <c r="CD706" s="259"/>
      <c r="CE706" s="259"/>
      <c r="CF706" s="259"/>
      <c r="CG706" s="259"/>
      <c r="CH706" s="259"/>
      <c r="CI706" s="259"/>
      <c r="CJ706" s="259"/>
      <c r="CK706" s="259"/>
      <c r="CL706" s="259"/>
      <c r="CM706" s="259"/>
      <c r="CN706" s="259"/>
      <c r="CO706" s="259"/>
      <c r="CP706" s="259"/>
      <c r="CQ706" s="259"/>
      <c r="CR706" s="259"/>
      <c r="CS706" s="259"/>
      <c r="CT706" s="259"/>
      <c r="CU706" s="259"/>
      <c r="CV706" s="259"/>
      <c r="CW706" s="259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/>
      <c r="BM707" s="30"/>
      <c r="BN707" s="30"/>
      <c r="BO707" s="259"/>
      <c r="BP707" s="259"/>
      <c r="BQ707" s="259"/>
      <c r="BR707" s="259"/>
      <c r="BS707" s="259"/>
      <c r="BT707" s="259"/>
      <c r="BU707" s="259"/>
      <c r="BV707" s="259"/>
      <c r="BW707" s="259"/>
      <c r="BX707" s="259"/>
      <c r="BY707" s="259"/>
      <c r="BZ707" s="260"/>
      <c r="CA707" s="259"/>
      <c r="CB707" s="259"/>
      <c r="CC707" s="259"/>
      <c r="CD707" s="259"/>
      <c r="CE707" s="259"/>
      <c r="CF707" s="259"/>
      <c r="CG707" s="259"/>
      <c r="CH707" s="259"/>
      <c r="CI707" s="259"/>
      <c r="CJ707" s="259"/>
      <c r="CK707" s="259"/>
      <c r="CL707" s="259"/>
      <c r="CM707" s="259"/>
      <c r="CN707" s="259"/>
      <c r="CO707" s="259"/>
      <c r="CP707" s="259"/>
      <c r="CQ707" s="259"/>
      <c r="CR707" s="259"/>
      <c r="CS707" s="259"/>
      <c r="CT707" s="259"/>
      <c r="CU707" s="259"/>
      <c r="CV707" s="259"/>
      <c r="CW707" s="259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  <c r="BI708" s="30"/>
      <c r="BJ708" s="30"/>
      <c r="BK708" s="30"/>
      <c r="BL708" s="30"/>
      <c r="BM708" s="30"/>
      <c r="BN708" s="30"/>
      <c r="BO708" s="259"/>
      <c r="BP708" s="259"/>
      <c r="BQ708" s="259"/>
      <c r="BR708" s="259"/>
      <c r="BS708" s="259"/>
      <c r="BT708" s="259"/>
      <c r="BU708" s="259"/>
      <c r="BV708" s="259"/>
      <c r="BW708" s="259"/>
      <c r="BX708" s="259"/>
      <c r="BY708" s="259"/>
      <c r="BZ708" s="260"/>
      <c r="CA708" s="259"/>
      <c r="CB708" s="259"/>
      <c r="CC708" s="259"/>
      <c r="CD708" s="259"/>
      <c r="CE708" s="259"/>
      <c r="CF708" s="259"/>
      <c r="CG708" s="259"/>
      <c r="CH708" s="259"/>
      <c r="CI708" s="259"/>
      <c r="CJ708" s="259"/>
      <c r="CK708" s="259"/>
      <c r="CL708" s="259"/>
      <c r="CM708" s="259"/>
      <c r="CN708" s="259"/>
      <c r="CO708" s="259"/>
      <c r="CP708" s="259"/>
      <c r="CQ708" s="259"/>
      <c r="CR708" s="259"/>
      <c r="CS708" s="259"/>
      <c r="CT708" s="259"/>
      <c r="CU708" s="259"/>
      <c r="CV708" s="259"/>
      <c r="CW708" s="259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  <c r="BI709" s="30"/>
      <c r="BJ709" s="30"/>
      <c r="BK709" s="30"/>
      <c r="BL709" s="30"/>
      <c r="BM709" s="30"/>
      <c r="BN709" s="30"/>
      <c r="BO709" s="259"/>
      <c r="BP709" s="259"/>
      <c r="BQ709" s="259"/>
      <c r="BR709" s="259"/>
      <c r="BS709" s="259"/>
      <c r="BT709" s="259"/>
      <c r="BU709" s="259"/>
      <c r="BV709" s="259"/>
      <c r="BW709" s="259"/>
      <c r="BX709" s="259"/>
      <c r="BY709" s="259"/>
      <c r="BZ709" s="260"/>
      <c r="CA709" s="259"/>
      <c r="CB709" s="259"/>
      <c r="CC709" s="259"/>
      <c r="CD709" s="259"/>
      <c r="CE709" s="259"/>
      <c r="CF709" s="259"/>
      <c r="CG709" s="259"/>
      <c r="CH709" s="259"/>
      <c r="CI709" s="259"/>
      <c r="CJ709" s="259"/>
      <c r="CK709" s="259"/>
      <c r="CL709" s="259"/>
      <c r="CM709" s="259"/>
      <c r="CN709" s="259"/>
      <c r="CO709" s="259"/>
      <c r="CP709" s="259"/>
      <c r="CQ709" s="259"/>
      <c r="CR709" s="259"/>
      <c r="CS709" s="259"/>
      <c r="CT709" s="259"/>
      <c r="CU709" s="259"/>
      <c r="CV709" s="259"/>
      <c r="CW709" s="259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  <c r="BI710" s="30"/>
      <c r="BJ710" s="30"/>
      <c r="BK710" s="30"/>
      <c r="BL710" s="30"/>
      <c r="BM710" s="30"/>
      <c r="BN710" s="30"/>
      <c r="BO710" s="259"/>
      <c r="BP710" s="259"/>
      <c r="BQ710" s="259"/>
      <c r="BR710" s="259"/>
      <c r="BS710" s="259"/>
      <c r="BT710" s="259"/>
      <c r="BU710" s="259"/>
      <c r="BV710" s="259"/>
      <c r="BW710" s="259"/>
      <c r="BX710" s="259"/>
      <c r="BY710" s="259"/>
      <c r="BZ710" s="260"/>
      <c r="CA710" s="259"/>
      <c r="CB710" s="259"/>
      <c r="CC710" s="259"/>
      <c r="CD710" s="259"/>
      <c r="CE710" s="259"/>
      <c r="CF710" s="259"/>
      <c r="CG710" s="259"/>
      <c r="CH710" s="259"/>
      <c r="CI710" s="259"/>
      <c r="CJ710" s="259"/>
      <c r="CK710" s="259"/>
      <c r="CL710" s="259"/>
      <c r="CM710" s="259"/>
      <c r="CN710" s="259"/>
      <c r="CO710" s="259"/>
      <c r="CP710" s="259"/>
      <c r="CQ710" s="259"/>
      <c r="CR710" s="259"/>
      <c r="CS710" s="259"/>
      <c r="CT710" s="259"/>
      <c r="CU710" s="259"/>
      <c r="CV710" s="259"/>
      <c r="CW710" s="259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  <c r="BI711" s="30"/>
      <c r="BJ711" s="30"/>
      <c r="BK711" s="30"/>
      <c r="BL711" s="30"/>
      <c r="BM711" s="30"/>
      <c r="BN711" s="30"/>
      <c r="BO711" s="259"/>
      <c r="BP711" s="259"/>
      <c r="BQ711" s="259"/>
      <c r="BR711" s="259"/>
      <c r="BS711" s="259"/>
      <c r="BT711" s="259"/>
      <c r="BU711" s="259"/>
      <c r="BV711" s="259"/>
      <c r="BW711" s="259"/>
      <c r="BX711" s="259"/>
      <c r="BY711" s="259"/>
      <c r="BZ711" s="260"/>
      <c r="CA711" s="259"/>
      <c r="CB711" s="259"/>
      <c r="CC711" s="259"/>
      <c r="CD711" s="259"/>
      <c r="CE711" s="259"/>
      <c r="CF711" s="259"/>
      <c r="CG711" s="259"/>
      <c r="CH711" s="259"/>
      <c r="CI711" s="259"/>
      <c r="CJ711" s="259"/>
      <c r="CK711" s="259"/>
      <c r="CL711" s="259"/>
      <c r="CM711" s="259"/>
      <c r="CN711" s="259"/>
      <c r="CO711" s="259"/>
      <c r="CP711" s="259"/>
      <c r="CQ711" s="259"/>
      <c r="CR711" s="259"/>
      <c r="CS711" s="259"/>
      <c r="CT711" s="259"/>
      <c r="CU711" s="259"/>
      <c r="CV711" s="259"/>
      <c r="CW711" s="259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/>
      <c r="BM712" s="30"/>
      <c r="BN712" s="30"/>
      <c r="BO712" s="259"/>
      <c r="BP712" s="259"/>
      <c r="BQ712" s="259"/>
      <c r="BR712" s="259"/>
      <c r="BS712" s="259"/>
      <c r="BT712" s="259"/>
      <c r="BU712" s="259"/>
      <c r="BV712" s="259"/>
      <c r="BW712" s="259"/>
      <c r="BX712" s="259"/>
      <c r="BY712" s="259"/>
      <c r="BZ712" s="260"/>
      <c r="CA712" s="259"/>
      <c r="CB712" s="259"/>
      <c r="CC712" s="259"/>
      <c r="CD712" s="259"/>
      <c r="CE712" s="259"/>
      <c r="CF712" s="259"/>
      <c r="CG712" s="259"/>
      <c r="CH712" s="259"/>
      <c r="CI712" s="259"/>
      <c r="CJ712" s="259"/>
      <c r="CK712" s="259"/>
      <c r="CL712" s="259"/>
      <c r="CM712" s="259"/>
      <c r="CN712" s="259"/>
      <c r="CO712" s="259"/>
      <c r="CP712" s="259"/>
      <c r="CQ712" s="259"/>
      <c r="CR712" s="259"/>
      <c r="CS712" s="259"/>
      <c r="CT712" s="259"/>
      <c r="CU712" s="259"/>
      <c r="CV712" s="259"/>
      <c r="CW712" s="259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  <c r="BI713" s="30"/>
      <c r="BJ713" s="30"/>
      <c r="BK713" s="30"/>
      <c r="BL713" s="30"/>
      <c r="BM713" s="30"/>
      <c r="BN713" s="30"/>
      <c r="BO713" s="259"/>
      <c r="BP713" s="259"/>
      <c r="BQ713" s="259"/>
      <c r="BR713" s="259"/>
      <c r="BS713" s="259"/>
      <c r="BT713" s="259"/>
      <c r="BU713" s="259"/>
      <c r="BV713" s="259"/>
      <c r="BW713" s="259"/>
      <c r="BX713" s="259"/>
      <c r="BY713" s="259"/>
      <c r="BZ713" s="260"/>
      <c r="CA713" s="259"/>
      <c r="CB713" s="259"/>
      <c r="CC713" s="259"/>
      <c r="CD713" s="259"/>
      <c r="CE713" s="259"/>
      <c r="CF713" s="259"/>
      <c r="CG713" s="259"/>
      <c r="CH713" s="259"/>
      <c r="CI713" s="259"/>
      <c r="CJ713" s="259"/>
      <c r="CK713" s="259"/>
      <c r="CL713" s="259"/>
      <c r="CM713" s="259"/>
      <c r="CN713" s="259"/>
      <c r="CO713" s="259"/>
      <c r="CP713" s="259"/>
      <c r="CQ713" s="259"/>
      <c r="CR713" s="259"/>
      <c r="CS713" s="259"/>
      <c r="CT713" s="259"/>
      <c r="CU713" s="259"/>
      <c r="CV713" s="259"/>
      <c r="CW713" s="259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30"/>
      <c r="BI714" s="30"/>
      <c r="BJ714" s="30"/>
      <c r="BK714" s="30"/>
      <c r="BL714" s="30"/>
      <c r="BM714" s="30"/>
      <c r="BN714" s="30"/>
      <c r="BO714" s="259"/>
      <c r="BP714" s="259"/>
      <c r="BQ714" s="259"/>
      <c r="BR714" s="259"/>
      <c r="BS714" s="259"/>
      <c r="BT714" s="259"/>
      <c r="BU714" s="259"/>
      <c r="BV714" s="259"/>
      <c r="BW714" s="259"/>
      <c r="BX714" s="259"/>
      <c r="BY714" s="259"/>
      <c r="BZ714" s="260"/>
      <c r="CA714" s="259"/>
      <c r="CB714" s="259"/>
      <c r="CC714" s="259"/>
      <c r="CD714" s="259"/>
      <c r="CE714" s="259"/>
      <c r="CF714" s="259"/>
      <c r="CG714" s="259"/>
      <c r="CH714" s="259"/>
      <c r="CI714" s="259"/>
      <c r="CJ714" s="259"/>
      <c r="CK714" s="259"/>
      <c r="CL714" s="259"/>
      <c r="CM714" s="259"/>
      <c r="CN714" s="259"/>
      <c r="CO714" s="259"/>
      <c r="CP714" s="259"/>
      <c r="CQ714" s="259"/>
      <c r="CR714" s="259"/>
      <c r="CS714" s="259"/>
      <c r="CT714" s="259"/>
      <c r="CU714" s="259"/>
      <c r="CV714" s="259"/>
      <c r="CW714" s="259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  <c r="BI715" s="30"/>
      <c r="BJ715" s="30"/>
      <c r="BK715" s="30"/>
      <c r="BL715" s="30"/>
      <c r="BM715" s="30"/>
      <c r="BN715" s="30"/>
      <c r="BO715" s="259"/>
      <c r="BP715" s="259"/>
      <c r="BQ715" s="259"/>
      <c r="BR715" s="259"/>
      <c r="BS715" s="259"/>
      <c r="BT715" s="259"/>
      <c r="BU715" s="259"/>
      <c r="BV715" s="259"/>
      <c r="BW715" s="259"/>
      <c r="BX715" s="259"/>
      <c r="BY715" s="259"/>
      <c r="BZ715" s="260"/>
      <c r="CA715" s="259"/>
      <c r="CB715" s="259"/>
      <c r="CC715" s="259"/>
      <c r="CD715" s="259"/>
      <c r="CE715" s="259"/>
      <c r="CF715" s="259"/>
      <c r="CG715" s="259"/>
      <c r="CH715" s="259"/>
      <c r="CI715" s="259"/>
      <c r="CJ715" s="259"/>
      <c r="CK715" s="259"/>
      <c r="CL715" s="259"/>
      <c r="CM715" s="259"/>
      <c r="CN715" s="259"/>
      <c r="CO715" s="259"/>
      <c r="CP715" s="259"/>
      <c r="CQ715" s="259"/>
      <c r="CR715" s="259"/>
      <c r="CS715" s="259"/>
      <c r="CT715" s="259"/>
      <c r="CU715" s="259"/>
      <c r="CV715" s="259"/>
      <c r="CW715" s="259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  <c r="BI716" s="30"/>
      <c r="BJ716" s="30"/>
      <c r="BK716" s="30"/>
      <c r="BL716" s="30"/>
      <c r="BM716" s="30"/>
      <c r="BN716" s="30"/>
      <c r="BO716" s="259"/>
      <c r="BP716" s="259"/>
      <c r="BQ716" s="259"/>
      <c r="BR716" s="259"/>
      <c r="BS716" s="259"/>
      <c r="BT716" s="259"/>
      <c r="BU716" s="259"/>
      <c r="BV716" s="259"/>
      <c r="BW716" s="259"/>
      <c r="BX716" s="259"/>
      <c r="BY716" s="259"/>
      <c r="BZ716" s="260"/>
      <c r="CA716" s="259"/>
      <c r="CB716" s="259"/>
      <c r="CC716" s="259"/>
      <c r="CD716" s="259"/>
      <c r="CE716" s="259"/>
      <c r="CF716" s="259"/>
      <c r="CG716" s="259"/>
      <c r="CH716" s="259"/>
      <c r="CI716" s="259"/>
      <c r="CJ716" s="259"/>
      <c r="CK716" s="259"/>
      <c r="CL716" s="259"/>
      <c r="CM716" s="259"/>
      <c r="CN716" s="259"/>
      <c r="CO716" s="259"/>
      <c r="CP716" s="259"/>
      <c r="CQ716" s="259"/>
      <c r="CR716" s="259"/>
      <c r="CS716" s="259"/>
      <c r="CT716" s="259"/>
      <c r="CU716" s="259"/>
      <c r="CV716" s="259"/>
      <c r="CW716" s="259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30"/>
      <c r="BN717" s="30"/>
      <c r="BO717" s="259"/>
      <c r="BP717" s="259"/>
      <c r="BQ717" s="259"/>
      <c r="BR717" s="259"/>
      <c r="BS717" s="259"/>
      <c r="BT717" s="259"/>
      <c r="BU717" s="259"/>
      <c r="BV717" s="259"/>
      <c r="BW717" s="259"/>
      <c r="BX717" s="259"/>
      <c r="BY717" s="259"/>
      <c r="BZ717" s="260"/>
      <c r="CA717" s="259"/>
      <c r="CB717" s="259"/>
      <c r="CC717" s="259"/>
      <c r="CD717" s="259"/>
      <c r="CE717" s="259"/>
      <c r="CF717" s="259"/>
      <c r="CG717" s="259"/>
      <c r="CH717" s="259"/>
      <c r="CI717" s="259"/>
      <c r="CJ717" s="259"/>
      <c r="CK717" s="259"/>
      <c r="CL717" s="259"/>
      <c r="CM717" s="259"/>
      <c r="CN717" s="259"/>
      <c r="CO717" s="259"/>
      <c r="CP717" s="259"/>
      <c r="CQ717" s="259"/>
      <c r="CR717" s="259"/>
      <c r="CS717" s="259"/>
      <c r="CT717" s="259"/>
      <c r="CU717" s="259"/>
      <c r="CV717" s="259"/>
      <c r="CW717" s="259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  <c r="BI718" s="30"/>
      <c r="BJ718" s="30"/>
      <c r="BK718" s="30"/>
      <c r="BL718" s="30"/>
      <c r="BM718" s="30"/>
      <c r="BN718" s="30"/>
      <c r="BO718" s="259"/>
      <c r="BP718" s="259"/>
      <c r="BQ718" s="259"/>
      <c r="BR718" s="259"/>
      <c r="BS718" s="259"/>
      <c r="BT718" s="259"/>
      <c r="BU718" s="259"/>
      <c r="BV718" s="259"/>
      <c r="BW718" s="259"/>
      <c r="BX718" s="259"/>
      <c r="BY718" s="259"/>
      <c r="BZ718" s="260"/>
      <c r="CA718" s="259"/>
      <c r="CB718" s="259"/>
      <c r="CC718" s="259"/>
      <c r="CD718" s="259"/>
      <c r="CE718" s="259"/>
      <c r="CF718" s="259"/>
      <c r="CG718" s="259"/>
      <c r="CH718" s="259"/>
      <c r="CI718" s="259"/>
      <c r="CJ718" s="259"/>
      <c r="CK718" s="259"/>
      <c r="CL718" s="259"/>
      <c r="CM718" s="259"/>
      <c r="CN718" s="259"/>
      <c r="CO718" s="259"/>
      <c r="CP718" s="259"/>
      <c r="CQ718" s="259"/>
      <c r="CR718" s="259"/>
      <c r="CS718" s="259"/>
      <c r="CT718" s="259"/>
      <c r="CU718" s="259"/>
      <c r="CV718" s="259"/>
      <c r="CW718" s="259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/>
      <c r="BM719" s="30"/>
      <c r="BN719" s="30"/>
      <c r="BO719" s="259"/>
      <c r="BP719" s="259"/>
      <c r="BQ719" s="259"/>
      <c r="BR719" s="259"/>
      <c r="BS719" s="259"/>
      <c r="BT719" s="259"/>
      <c r="BU719" s="259"/>
      <c r="BV719" s="259"/>
      <c r="BW719" s="259"/>
      <c r="BX719" s="259"/>
      <c r="BY719" s="259"/>
      <c r="BZ719" s="260"/>
      <c r="CA719" s="259"/>
      <c r="CB719" s="259"/>
      <c r="CC719" s="259"/>
      <c r="CD719" s="259"/>
      <c r="CE719" s="259"/>
      <c r="CF719" s="259"/>
      <c r="CG719" s="259"/>
      <c r="CH719" s="259"/>
      <c r="CI719" s="259"/>
      <c r="CJ719" s="259"/>
      <c r="CK719" s="259"/>
      <c r="CL719" s="259"/>
      <c r="CM719" s="259"/>
      <c r="CN719" s="259"/>
      <c r="CO719" s="259"/>
      <c r="CP719" s="259"/>
      <c r="CQ719" s="259"/>
      <c r="CR719" s="259"/>
      <c r="CS719" s="259"/>
      <c r="CT719" s="259"/>
      <c r="CU719" s="259"/>
      <c r="CV719" s="259"/>
      <c r="CW719" s="259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/>
      <c r="BM720" s="30"/>
      <c r="BN720" s="30"/>
      <c r="BO720" s="259"/>
      <c r="BP720" s="259"/>
      <c r="BQ720" s="259"/>
      <c r="BR720" s="259"/>
      <c r="BS720" s="259"/>
      <c r="BT720" s="259"/>
      <c r="BU720" s="259"/>
      <c r="BV720" s="259"/>
      <c r="BW720" s="259"/>
      <c r="BX720" s="259"/>
      <c r="BY720" s="259"/>
      <c r="BZ720" s="260"/>
      <c r="CA720" s="259"/>
      <c r="CB720" s="259"/>
      <c r="CC720" s="259"/>
      <c r="CD720" s="259"/>
      <c r="CE720" s="259"/>
      <c r="CF720" s="259"/>
      <c r="CG720" s="259"/>
      <c r="CH720" s="259"/>
      <c r="CI720" s="259"/>
      <c r="CJ720" s="259"/>
      <c r="CK720" s="259"/>
      <c r="CL720" s="259"/>
      <c r="CM720" s="259"/>
      <c r="CN720" s="259"/>
      <c r="CO720" s="259"/>
      <c r="CP720" s="259"/>
      <c r="CQ720" s="259"/>
      <c r="CR720" s="259"/>
      <c r="CS720" s="259"/>
      <c r="CT720" s="259"/>
      <c r="CU720" s="259"/>
      <c r="CV720" s="259"/>
      <c r="CW720" s="259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  <c r="BI721" s="30"/>
      <c r="BJ721" s="30"/>
      <c r="BK721" s="30"/>
      <c r="BL721" s="30"/>
      <c r="BM721" s="30"/>
      <c r="BN721" s="30"/>
      <c r="BO721" s="259"/>
      <c r="BP721" s="259"/>
      <c r="BQ721" s="259"/>
      <c r="BR721" s="259"/>
      <c r="BS721" s="259"/>
      <c r="BT721" s="259"/>
      <c r="BU721" s="259"/>
      <c r="BV721" s="259"/>
      <c r="BW721" s="259"/>
      <c r="BX721" s="259"/>
      <c r="BY721" s="259"/>
      <c r="BZ721" s="260"/>
      <c r="CA721" s="259"/>
      <c r="CB721" s="259"/>
      <c r="CC721" s="259"/>
      <c r="CD721" s="259"/>
      <c r="CE721" s="259"/>
      <c r="CF721" s="259"/>
      <c r="CG721" s="259"/>
      <c r="CH721" s="259"/>
      <c r="CI721" s="259"/>
      <c r="CJ721" s="259"/>
      <c r="CK721" s="259"/>
      <c r="CL721" s="259"/>
      <c r="CM721" s="259"/>
      <c r="CN721" s="259"/>
      <c r="CO721" s="259"/>
      <c r="CP721" s="259"/>
      <c r="CQ721" s="259"/>
      <c r="CR721" s="259"/>
      <c r="CS721" s="259"/>
      <c r="CT721" s="259"/>
      <c r="CU721" s="259"/>
      <c r="CV721" s="259"/>
      <c r="CW721" s="259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/>
      <c r="BI722" s="30"/>
      <c r="BJ722" s="30"/>
      <c r="BK722" s="30"/>
      <c r="BL722" s="30"/>
      <c r="BM722" s="30"/>
      <c r="BN722" s="30"/>
      <c r="BO722" s="259"/>
      <c r="BP722" s="259"/>
      <c r="BQ722" s="259"/>
      <c r="BR722" s="259"/>
      <c r="BS722" s="259"/>
      <c r="BT722" s="259"/>
      <c r="BU722" s="259"/>
      <c r="BV722" s="259"/>
      <c r="BW722" s="259"/>
      <c r="BX722" s="259"/>
      <c r="BY722" s="259"/>
      <c r="BZ722" s="260"/>
      <c r="CA722" s="259"/>
      <c r="CB722" s="259"/>
      <c r="CC722" s="259"/>
      <c r="CD722" s="259"/>
      <c r="CE722" s="259"/>
      <c r="CF722" s="259"/>
      <c r="CG722" s="259"/>
      <c r="CH722" s="259"/>
      <c r="CI722" s="259"/>
      <c r="CJ722" s="259"/>
      <c r="CK722" s="259"/>
      <c r="CL722" s="259"/>
      <c r="CM722" s="259"/>
      <c r="CN722" s="259"/>
      <c r="CO722" s="259"/>
      <c r="CP722" s="259"/>
      <c r="CQ722" s="259"/>
      <c r="CR722" s="259"/>
      <c r="CS722" s="259"/>
      <c r="CT722" s="259"/>
      <c r="CU722" s="259"/>
      <c r="CV722" s="259"/>
      <c r="CW722" s="259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30"/>
      <c r="BI723" s="30"/>
      <c r="BJ723" s="30"/>
      <c r="BK723" s="30"/>
      <c r="BL723" s="30"/>
      <c r="BM723" s="30"/>
      <c r="BN723" s="30"/>
      <c r="BO723" s="259"/>
      <c r="BP723" s="259"/>
      <c r="BQ723" s="259"/>
      <c r="BR723" s="259"/>
      <c r="BS723" s="259"/>
      <c r="BT723" s="259"/>
      <c r="BU723" s="259"/>
      <c r="BV723" s="259"/>
      <c r="BW723" s="259"/>
      <c r="BX723" s="259"/>
      <c r="BY723" s="259"/>
      <c r="BZ723" s="260"/>
      <c r="CA723" s="259"/>
      <c r="CB723" s="259"/>
      <c r="CC723" s="259"/>
      <c r="CD723" s="259"/>
      <c r="CE723" s="259"/>
      <c r="CF723" s="259"/>
      <c r="CG723" s="259"/>
      <c r="CH723" s="259"/>
      <c r="CI723" s="259"/>
      <c r="CJ723" s="259"/>
      <c r="CK723" s="259"/>
      <c r="CL723" s="259"/>
      <c r="CM723" s="259"/>
      <c r="CN723" s="259"/>
      <c r="CO723" s="259"/>
      <c r="CP723" s="259"/>
      <c r="CQ723" s="259"/>
      <c r="CR723" s="259"/>
      <c r="CS723" s="259"/>
      <c r="CT723" s="259"/>
      <c r="CU723" s="259"/>
      <c r="CV723" s="259"/>
      <c r="CW723" s="259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/>
      <c r="BM724" s="30"/>
      <c r="BN724" s="30"/>
      <c r="BO724" s="259"/>
      <c r="BP724" s="259"/>
      <c r="BQ724" s="259"/>
      <c r="BR724" s="259"/>
      <c r="BS724" s="259"/>
      <c r="BT724" s="259"/>
      <c r="BU724" s="259"/>
      <c r="BV724" s="259"/>
      <c r="BW724" s="259"/>
      <c r="BX724" s="259"/>
      <c r="BY724" s="259"/>
      <c r="BZ724" s="260"/>
      <c r="CA724" s="259"/>
      <c r="CB724" s="259"/>
      <c r="CC724" s="259"/>
      <c r="CD724" s="259"/>
      <c r="CE724" s="259"/>
      <c r="CF724" s="259"/>
      <c r="CG724" s="259"/>
      <c r="CH724" s="259"/>
      <c r="CI724" s="259"/>
      <c r="CJ724" s="259"/>
      <c r="CK724" s="259"/>
      <c r="CL724" s="259"/>
      <c r="CM724" s="259"/>
      <c r="CN724" s="259"/>
      <c r="CO724" s="259"/>
      <c r="CP724" s="259"/>
      <c r="CQ724" s="259"/>
      <c r="CR724" s="259"/>
      <c r="CS724" s="259"/>
      <c r="CT724" s="259"/>
      <c r="CU724" s="259"/>
      <c r="CV724" s="259"/>
      <c r="CW724" s="259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  <c r="BJ725" s="30"/>
      <c r="BK725" s="30"/>
      <c r="BL725" s="30"/>
      <c r="BM725" s="30"/>
      <c r="BN725" s="30"/>
      <c r="BO725" s="259"/>
      <c r="BP725" s="259"/>
      <c r="BQ725" s="259"/>
      <c r="BR725" s="259"/>
      <c r="BS725" s="259"/>
      <c r="BT725" s="259"/>
      <c r="BU725" s="259"/>
      <c r="BV725" s="259"/>
      <c r="BW725" s="259"/>
      <c r="BX725" s="259"/>
      <c r="BY725" s="259"/>
      <c r="BZ725" s="260"/>
      <c r="CA725" s="259"/>
      <c r="CB725" s="259"/>
      <c r="CC725" s="259"/>
      <c r="CD725" s="259"/>
      <c r="CE725" s="259"/>
      <c r="CF725" s="259"/>
      <c r="CG725" s="259"/>
      <c r="CH725" s="259"/>
      <c r="CI725" s="259"/>
      <c r="CJ725" s="259"/>
      <c r="CK725" s="259"/>
      <c r="CL725" s="259"/>
      <c r="CM725" s="259"/>
      <c r="CN725" s="259"/>
      <c r="CO725" s="259"/>
      <c r="CP725" s="259"/>
      <c r="CQ725" s="259"/>
      <c r="CR725" s="259"/>
      <c r="CS725" s="259"/>
      <c r="CT725" s="259"/>
      <c r="CU725" s="259"/>
      <c r="CV725" s="259"/>
      <c r="CW725" s="259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  <c r="BI726" s="30"/>
      <c r="BJ726" s="30"/>
      <c r="BK726" s="30"/>
      <c r="BL726" s="30"/>
      <c r="BM726" s="30"/>
      <c r="BN726" s="30"/>
      <c r="BO726" s="259"/>
      <c r="BP726" s="259"/>
      <c r="BQ726" s="259"/>
      <c r="BR726" s="259"/>
      <c r="BS726" s="259"/>
      <c r="BT726" s="259"/>
      <c r="BU726" s="259"/>
      <c r="BV726" s="259"/>
      <c r="BW726" s="259"/>
      <c r="BX726" s="259"/>
      <c r="BY726" s="259"/>
      <c r="BZ726" s="260"/>
      <c r="CA726" s="259"/>
      <c r="CB726" s="259"/>
      <c r="CC726" s="259"/>
      <c r="CD726" s="259"/>
      <c r="CE726" s="259"/>
      <c r="CF726" s="259"/>
      <c r="CG726" s="259"/>
      <c r="CH726" s="259"/>
      <c r="CI726" s="259"/>
      <c r="CJ726" s="259"/>
      <c r="CK726" s="259"/>
      <c r="CL726" s="259"/>
      <c r="CM726" s="259"/>
      <c r="CN726" s="259"/>
      <c r="CO726" s="259"/>
      <c r="CP726" s="259"/>
      <c r="CQ726" s="259"/>
      <c r="CR726" s="259"/>
      <c r="CS726" s="259"/>
      <c r="CT726" s="259"/>
      <c r="CU726" s="259"/>
      <c r="CV726" s="259"/>
      <c r="CW726" s="259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  <c r="BI727" s="30"/>
      <c r="BJ727" s="30"/>
      <c r="BK727" s="30"/>
      <c r="BL727" s="30"/>
      <c r="BM727" s="30"/>
      <c r="BN727" s="30"/>
      <c r="BO727" s="259"/>
      <c r="BP727" s="259"/>
      <c r="BQ727" s="259"/>
      <c r="BR727" s="259"/>
      <c r="BS727" s="259"/>
      <c r="BT727" s="259"/>
      <c r="BU727" s="259"/>
      <c r="BV727" s="259"/>
      <c r="BW727" s="259"/>
      <c r="BX727" s="259"/>
      <c r="BY727" s="259"/>
      <c r="BZ727" s="260"/>
      <c r="CA727" s="259"/>
      <c r="CB727" s="259"/>
      <c r="CC727" s="259"/>
      <c r="CD727" s="259"/>
      <c r="CE727" s="259"/>
      <c r="CF727" s="259"/>
      <c r="CG727" s="259"/>
      <c r="CH727" s="259"/>
      <c r="CI727" s="259"/>
      <c r="CJ727" s="259"/>
      <c r="CK727" s="259"/>
      <c r="CL727" s="259"/>
      <c r="CM727" s="259"/>
      <c r="CN727" s="259"/>
      <c r="CO727" s="259"/>
      <c r="CP727" s="259"/>
      <c r="CQ727" s="259"/>
      <c r="CR727" s="259"/>
      <c r="CS727" s="259"/>
      <c r="CT727" s="259"/>
      <c r="CU727" s="259"/>
      <c r="CV727" s="259"/>
      <c r="CW727" s="259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  <c r="BJ728" s="30"/>
      <c r="BK728" s="30"/>
      <c r="BL728" s="30"/>
      <c r="BM728" s="30"/>
      <c r="BN728" s="30"/>
      <c r="BO728" s="259"/>
      <c r="BP728" s="259"/>
      <c r="BQ728" s="259"/>
      <c r="BR728" s="259"/>
      <c r="BS728" s="259"/>
      <c r="BT728" s="259"/>
      <c r="BU728" s="259"/>
      <c r="BV728" s="259"/>
      <c r="BW728" s="259"/>
      <c r="BX728" s="259"/>
      <c r="BY728" s="259"/>
      <c r="BZ728" s="260"/>
      <c r="CA728" s="259"/>
      <c r="CB728" s="259"/>
      <c r="CC728" s="259"/>
      <c r="CD728" s="259"/>
      <c r="CE728" s="259"/>
      <c r="CF728" s="259"/>
      <c r="CG728" s="259"/>
      <c r="CH728" s="259"/>
      <c r="CI728" s="259"/>
      <c r="CJ728" s="259"/>
      <c r="CK728" s="259"/>
      <c r="CL728" s="259"/>
      <c r="CM728" s="259"/>
      <c r="CN728" s="259"/>
      <c r="CO728" s="259"/>
      <c r="CP728" s="259"/>
      <c r="CQ728" s="259"/>
      <c r="CR728" s="259"/>
      <c r="CS728" s="259"/>
      <c r="CT728" s="259"/>
      <c r="CU728" s="259"/>
      <c r="CV728" s="259"/>
      <c r="CW728" s="259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30"/>
      <c r="BI729" s="30"/>
      <c r="BJ729" s="30"/>
      <c r="BK729" s="30"/>
      <c r="BL729" s="30"/>
      <c r="BM729" s="30"/>
      <c r="BN729" s="30"/>
      <c r="BO729" s="259"/>
      <c r="BP729" s="259"/>
      <c r="BQ729" s="259"/>
      <c r="BR729" s="259"/>
      <c r="BS729" s="259"/>
      <c r="BT729" s="259"/>
      <c r="BU729" s="259"/>
      <c r="BV729" s="259"/>
      <c r="BW729" s="259"/>
      <c r="BX729" s="259"/>
      <c r="BY729" s="259"/>
      <c r="BZ729" s="260"/>
      <c r="CA729" s="259"/>
      <c r="CB729" s="259"/>
      <c r="CC729" s="259"/>
      <c r="CD729" s="259"/>
      <c r="CE729" s="259"/>
      <c r="CF729" s="259"/>
      <c r="CG729" s="259"/>
      <c r="CH729" s="259"/>
      <c r="CI729" s="259"/>
      <c r="CJ729" s="259"/>
      <c r="CK729" s="259"/>
      <c r="CL729" s="259"/>
      <c r="CM729" s="259"/>
      <c r="CN729" s="259"/>
      <c r="CO729" s="259"/>
      <c r="CP729" s="259"/>
      <c r="CQ729" s="259"/>
      <c r="CR729" s="259"/>
      <c r="CS729" s="259"/>
      <c r="CT729" s="259"/>
      <c r="CU729" s="259"/>
      <c r="CV729" s="259"/>
      <c r="CW729" s="259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  <c r="BI730" s="30"/>
      <c r="BJ730" s="30"/>
      <c r="BK730" s="30"/>
      <c r="BL730" s="30"/>
      <c r="BM730" s="30"/>
      <c r="BN730" s="30"/>
      <c r="BO730" s="259"/>
      <c r="BP730" s="259"/>
      <c r="BQ730" s="259"/>
      <c r="BR730" s="259"/>
      <c r="BS730" s="259"/>
      <c r="BT730" s="259"/>
      <c r="BU730" s="259"/>
      <c r="BV730" s="259"/>
      <c r="BW730" s="259"/>
      <c r="BX730" s="259"/>
      <c r="BY730" s="259"/>
      <c r="BZ730" s="260"/>
      <c r="CA730" s="259"/>
      <c r="CB730" s="259"/>
      <c r="CC730" s="259"/>
      <c r="CD730" s="259"/>
      <c r="CE730" s="259"/>
      <c r="CF730" s="259"/>
      <c r="CG730" s="259"/>
      <c r="CH730" s="259"/>
      <c r="CI730" s="259"/>
      <c r="CJ730" s="259"/>
      <c r="CK730" s="259"/>
      <c r="CL730" s="259"/>
      <c r="CM730" s="259"/>
      <c r="CN730" s="259"/>
      <c r="CO730" s="259"/>
      <c r="CP730" s="259"/>
      <c r="CQ730" s="259"/>
      <c r="CR730" s="259"/>
      <c r="CS730" s="259"/>
      <c r="CT730" s="259"/>
      <c r="CU730" s="259"/>
      <c r="CV730" s="259"/>
      <c r="CW730" s="259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  <c r="BJ731" s="30"/>
      <c r="BK731" s="30"/>
      <c r="BL731" s="30"/>
      <c r="BM731" s="30"/>
      <c r="BN731" s="30"/>
      <c r="BO731" s="259"/>
      <c r="BP731" s="259"/>
      <c r="BQ731" s="259"/>
      <c r="BR731" s="259"/>
      <c r="BS731" s="259"/>
      <c r="BT731" s="259"/>
      <c r="BU731" s="259"/>
      <c r="BV731" s="259"/>
      <c r="BW731" s="259"/>
      <c r="BX731" s="259"/>
      <c r="BY731" s="259"/>
      <c r="BZ731" s="260"/>
      <c r="CA731" s="259"/>
      <c r="CB731" s="259"/>
      <c r="CC731" s="259"/>
      <c r="CD731" s="259"/>
      <c r="CE731" s="259"/>
      <c r="CF731" s="259"/>
      <c r="CG731" s="259"/>
      <c r="CH731" s="259"/>
      <c r="CI731" s="259"/>
      <c r="CJ731" s="259"/>
      <c r="CK731" s="259"/>
      <c r="CL731" s="259"/>
      <c r="CM731" s="259"/>
      <c r="CN731" s="259"/>
      <c r="CO731" s="259"/>
      <c r="CP731" s="259"/>
      <c r="CQ731" s="259"/>
      <c r="CR731" s="259"/>
      <c r="CS731" s="259"/>
      <c r="CT731" s="259"/>
      <c r="CU731" s="259"/>
      <c r="CV731" s="259"/>
      <c r="CW731" s="259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30"/>
      <c r="BN732" s="30"/>
      <c r="BO732" s="259"/>
      <c r="BP732" s="259"/>
      <c r="BQ732" s="259"/>
      <c r="BR732" s="259"/>
      <c r="BS732" s="259"/>
      <c r="BT732" s="259"/>
      <c r="BU732" s="259"/>
      <c r="BV732" s="259"/>
      <c r="BW732" s="259"/>
      <c r="BX732" s="259"/>
      <c r="BY732" s="259"/>
      <c r="BZ732" s="260"/>
      <c r="CA732" s="259"/>
      <c r="CB732" s="259"/>
      <c r="CC732" s="259"/>
      <c r="CD732" s="259"/>
      <c r="CE732" s="259"/>
      <c r="CF732" s="259"/>
      <c r="CG732" s="259"/>
      <c r="CH732" s="259"/>
      <c r="CI732" s="259"/>
      <c r="CJ732" s="259"/>
      <c r="CK732" s="259"/>
      <c r="CL732" s="259"/>
      <c r="CM732" s="259"/>
      <c r="CN732" s="259"/>
      <c r="CO732" s="259"/>
      <c r="CP732" s="259"/>
      <c r="CQ732" s="259"/>
      <c r="CR732" s="259"/>
      <c r="CS732" s="259"/>
      <c r="CT732" s="259"/>
      <c r="CU732" s="259"/>
      <c r="CV732" s="259"/>
      <c r="CW732" s="259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  <c r="BI733" s="30"/>
      <c r="BJ733" s="30"/>
      <c r="BK733" s="30"/>
      <c r="BL733" s="30"/>
      <c r="BM733" s="30"/>
      <c r="BN733" s="30"/>
      <c r="BO733" s="259"/>
      <c r="BP733" s="259"/>
      <c r="BQ733" s="259"/>
      <c r="BR733" s="259"/>
      <c r="BS733" s="259"/>
      <c r="BT733" s="259"/>
      <c r="BU733" s="259"/>
      <c r="BV733" s="259"/>
      <c r="BW733" s="259"/>
      <c r="BX733" s="259"/>
      <c r="BY733" s="259"/>
      <c r="BZ733" s="260"/>
      <c r="CA733" s="259"/>
      <c r="CB733" s="259"/>
      <c r="CC733" s="259"/>
      <c r="CD733" s="259"/>
      <c r="CE733" s="259"/>
      <c r="CF733" s="259"/>
      <c r="CG733" s="259"/>
      <c r="CH733" s="259"/>
      <c r="CI733" s="259"/>
      <c r="CJ733" s="259"/>
      <c r="CK733" s="259"/>
      <c r="CL733" s="259"/>
      <c r="CM733" s="259"/>
      <c r="CN733" s="259"/>
      <c r="CO733" s="259"/>
      <c r="CP733" s="259"/>
      <c r="CQ733" s="259"/>
      <c r="CR733" s="259"/>
      <c r="CS733" s="259"/>
      <c r="CT733" s="259"/>
      <c r="CU733" s="259"/>
      <c r="CV733" s="259"/>
      <c r="CW733" s="259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  <c r="BI734" s="30"/>
      <c r="BJ734" s="30"/>
      <c r="BK734" s="30"/>
      <c r="BL734" s="30"/>
      <c r="BM734" s="30"/>
      <c r="BN734" s="30"/>
      <c r="BO734" s="259"/>
      <c r="BP734" s="259"/>
      <c r="BQ734" s="259"/>
      <c r="BR734" s="259"/>
      <c r="BS734" s="259"/>
      <c r="BT734" s="259"/>
      <c r="BU734" s="259"/>
      <c r="BV734" s="259"/>
      <c r="BW734" s="259"/>
      <c r="BX734" s="259"/>
      <c r="BY734" s="259"/>
      <c r="BZ734" s="260"/>
      <c r="CA734" s="259"/>
      <c r="CB734" s="259"/>
      <c r="CC734" s="259"/>
      <c r="CD734" s="259"/>
      <c r="CE734" s="259"/>
      <c r="CF734" s="259"/>
      <c r="CG734" s="259"/>
      <c r="CH734" s="259"/>
      <c r="CI734" s="259"/>
      <c r="CJ734" s="259"/>
      <c r="CK734" s="259"/>
      <c r="CL734" s="259"/>
      <c r="CM734" s="259"/>
      <c r="CN734" s="259"/>
      <c r="CO734" s="259"/>
      <c r="CP734" s="259"/>
      <c r="CQ734" s="259"/>
      <c r="CR734" s="259"/>
      <c r="CS734" s="259"/>
      <c r="CT734" s="259"/>
      <c r="CU734" s="259"/>
      <c r="CV734" s="259"/>
      <c r="CW734" s="259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  <c r="BI735" s="30"/>
      <c r="BJ735" s="30"/>
      <c r="BK735" s="30"/>
      <c r="BL735" s="30"/>
      <c r="BM735" s="30"/>
      <c r="BN735" s="30"/>
      <c r="BO735" s="259"/>
      <c r="BP735" s="259"/>
      <c r="BQ735" s="259"/>
      <c r="BR735" s="259"/>
      <c r="BS735" s="259"/>
      <c r="BT735" s="259"/>
      <c r="BU735" s="259"/>
      <c r="BV735" s="259"/>
      <c r="BW735" s="259"/>
      <c r="BX735" s="259"/>
      <c r="BY735" s="259"/>
      <c r="BZ735" s="260"/>
      <c r="CA735" s="259"/>
      <c r="CB735" s="259"/>
      <c r="CC735" s="259"/>
      <c r="CD735" s="259"/>
      <c r="CE735" s="259"/>
      <c r="CF735" s="259"/>
      <c r="CG735" s="259"/>
      <c r="CH735" s="259"/>
      <c r="CI735" s="259"/>
      <c r="CJ735" s="259"/>
      <c r="CK735" s="259"/>
      <c r="CL735" s="259"/>
      <c r="CM735" s="259"/>
      <c r="CN735" s="259"/>
      <c r="CO735" s="259"/>
      <c r="CP735" s="259"/>
      <c r="CQ735" s="259"/>
      <c r="CR735" s="259"/>
      <c r="CS735" s="259"/>
      <c r="CT735" s="259"/>
      <c r="CU735" s="259"/>
      <c r="CV735" s="259"/>
      <c r="CW735" s="259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  <c r="BJ736" s="30"/>
      <c r="BK736" s="30"/>
      <c r="BL736" s="30"/>
      <c r="BM736" s="30"/>
      <c r="BN736" s="30"/>
      <c r="BO736" s="259"/>
      <c r="BP736" s="259"/>
      <c r="BQ736" s="259"/>
      <c r="BR736" s="259"/>
      <c r="BS736" s="259"/>
      <c r="BT736" s="259"/>
      <c r="BU736" s="259"/>
      <c r="BV736" s="259"/>
      <c r="BW736" s="259"/>
      <c r="BX736" s="259"/>
      <c r="BY736" s="259"/>
      <c r="BZ736" s="260"/>
      <c r="CA736" s="259"/>
      <c r="CB736" s="259"/>
      <c r="CC736" s="259"/>
      <c r="CD736" s="259"/>
      <c r="CE736" s="259"/>
      <c r="CF736" s="259"/>
      <c r="CG736" s="259"/>
      <c r="CH736" s="259"/>
      <c r="CI736" s="259"/>
      <c r="CJ736" s="259"/>
      <c r="CK736" s="259"/>
      <c r="CL736" s="259"/>
      <c r="CM736" s="259"/>
      <c r="CN736" s="259"/>
      <c r="CO736" s="259"/>
      <c r="CP736" s="259"/>
      <c r="CQ736" s="259"/>
      <c r="CR736" s="259"/>
      <c r="CS736" s="259"/>
      <c r="CT736" s="259"/>
      <c r="CU736" s="259"/>
      <c r="CV736" s="259"/>
      <c r="CW736" s="259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  <c r="BJ737" s="30"/>
      <c r="BK737" s="30"/>
      <c r="BL737" s="30"/>
      <c r="BM737" s="30"/>
      <c r="BN737" s="30"/>
      <c r="BO737" s="259"/>
      <c r="BP737" s="259"/>
      <c r="BQ737" s="259"/>
      <c r="BR737" s="259"/>
      <c r="BS737" s="259"/>
      <c r="BT737" s="259"/>
      <c r="BU737" s="259"/>
      <c r="BV737" s="259"/>
      <c r="BW737" s="259"/>
      <c r="BX737" s="259"/>
      <c r="BY737" s="259"/>
      <c r="BZ737" s="260"/>
      <c r="CA737" s="259"/>
      <c r="CB737" s="259"/>
      <c r="CC737" s="259"/>
      <c r="CD737" s="259"/>
      <c r="CE737" s="259"/>
      <c r="CF737" s="259"/>
      <c r="CG737" s="259"/>
      <c r="CH737" s="259"/>
      <c r="CI737" s="259"/>
      <c r="CJ737" s="259"/>
      <c r="CK737" s="259"/>
      <c r="CL737" s="259"/>
      <c r="CM737" s="259"/>
      <c r="CN737" s="259"/>
      <c r="CO737" s="259"/>
      <c r="CP737" s="259"/>
      <c r="CQ737" s="259"/>
      <c r="CR737" s="259"/>
      <c r="CS737" s="259"/>
      <c r="CT737" s="259"/>
      <c r="CU737" s="259"/>
      <c r="CV737" s="259"/>
      <c r="CW737" s="259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  <c r="BI738" s="30"/>
      <c r="BJ738" s="30"/>
      <c r="BK738" s="30"/>
      <c r="BL738" s="30"/>
      <c r="BM738" s="30"/>
      <c r="BN738" s="30"/>
      <c r="BO738" s="259"/>
      <c r="BP738" s="259"/>
      <c r="BQ738" s="259"/>
      <c r="BR738" s="259"/>
      <c r="BS738" s="259"/>
      <c r="BT738" s="259"/>
      <c r="BU738" s="259"/>
      <c r="BV738" s="259"/>
      <c r="BW738" s="259"/>
      <c r="BX738" s="259"/>
      <c r="BY738" s="259"/>
      <c r="BZ738" s="260"/>
      <c r="CA738" s="259"/>
      <c r="CB738" s="259"/>
      <c r="CC738" s="259"/>
      <c r="CD738" s="259"/>
      <c r="CE738" s="259"/>
      <c r="CF738" s="259"/>
      <c r="CG738" s="259"/>
      <c r="CH738" s="259"/>
      <c r="CI738" s="259"/>
      <c r="CJ738" s="259"/>
      <c r="CK738" s="259"/>
      <c r="CL738" s="259"/>
      <c r="CM738" s="259"/>
      <c r="CN738" s="259"/>
      <c r="CO738" s="259"/>
      <c r="CP738" s="259"/>
      <c r="CQ738" s="259"/>
      <c r="CR738" s="259"/>
      <c r="CS738" s="259"/>
      <c r="CT738" s="259"/>
      <c r="CU738" s="259"/>
      <c r="CV738" s="259"/>
      <c r="CW738" s="259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  <c r="BI739" s="30"/>
      <c r="BJ739" s="30"/>
      <c r="BK739" s="30"/>
      <c r="BL739" s="30"/>
      <c r="BM739" s="30"/>
      <c r="BN739" s="30"/>
      <c r="BO739" s="259"/>
      <c r="BP739" s="259"/>
      <c r="BQ739" s="259"/>
      <c r="BR739" s="259"/>
      <c r="BS739" s="259"/>
      <c r="BT739" s="259"/>
      <c r="BU739" s="259"/>
      <c r="BV739" s="259"/>
      <c r="BW739" s="259"/>
      <c r="BX739" s="259"/>
      <c r="BY739" s="259"/>
      <c r="BZ739" s="260"/>
      <c r="CA739" s="259"/>
      <c r="CB739" s="259"/>
      <c r="CC739" s="259"/>
      <c r="CD739" s="259"/>
      <c r="CE739" s="259"/>
      <c r="CF739" s="259"/>
      <c r="CG739" s="259"/>
      <c r="CH739" s="259"/>
      <c r="CI739" s="259"/>
      <c r="CJ739" s="259"/>
      <c r="CK739" s="259"/>
      <c r="CL739" s="259"/>
      <c r="CM739" s="259"/>
      <c r="CN739" s="259"/>
      <c r="CO739" s="259"/>
      <c r="CP739" s="259"/>
      <c r="CQ739" s="259"/>
      <c r="CR739" s="259"/>
      <c r="CS739" s="259"/>
      <c r="CT739" s="259"/>
      <c r="CU739" s="259"/>
      <c r="CV739" s="259"/>
      <c r="CW739" s="259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  <c r="BI740" s="30"/>
      <c r="BJ740" s="30"/>
      <c r="BK740" s="30"/>
      <c r="BL740" s="30"/>
      <c r="BM740" s="30"/>
      <c r="BN740" s="30"/>
      <c r="BO740" s="259"/>
      <c r="BP740" s="259"/>
      <c r="BQ740" s="259"/>
      <c r="BR740" s="259"/>
      <c r="BS740" s="259"/>
      <c r="BT740" s="259"/>
      <c r="BU740" s="259"/>
      <c r="BV740" s="259"/>
      <c r="BW740" s="259"/>
      <c r="BX740" s="259"/>
      <c r="BY740" s="259"/>
      <c r="BZ740" s="260"/>
      <c r="CA740" s="259"/>
      <c r="CB740" s="259"/>
      <c r="CC740" s="259"/>
      <c r="CD740" s="259"/>
      <c r="CE740" s="259"/>
      <c r="CF740" s="259"/>
      <c r="CG740" s="259"/>
      <c r="CH740" s="259"/>
      <c r="CI740" s="259"/>
      <c r="CJ740" s="259"/>
      <c r="CK740" s="259"/>
      <c r="CL740" s="259"/>
      <c r="CM740" s="259"/>
      <c r="CN740" s="259"/>
      <c r="CO740" s="259"/>
      <c r="CP740" s="259"/>
      <c r="CQ740" s="259"/>
      <c r="CR740" s="259"/>
      <c r="CS740" s="259"/>
      <c r="CT740" s="259"/>
      <c r="CU740" s="259"/>
      <c r="CV740" s="259"/>
      <c r="CW740" s="259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  <c r="BI741" s="30"/>
      <c r="BJ741" s="30"/>
      <c r="BK741" s="30"/>
      <c r="BL741" s="30"/>
      <c r="BM741" s="30"/>
      <c r="BN741" s="30"/>
      <c r="BO741" s="259"/>
      <c r="BP741" s="259"/>
      <c r="BQ741" s="259"/>
      <c r="BR741" s="259"/>
      <c r="BS741" s="259"/>
      <c r="BT741" s="259"/>
      <c r="BU741" s="259"/>
      <c r="BV741" s="259"/>
      <c r="BW741" s="259"/>
      <c r="BX741" s="259"/>
      <c r="BY741" s="259"/>
      <c r="BZ741" s="260"/>
      <c r="CA741" s="259"/>
      <c r="CB741" s="259"/>
      <c r="CC741" s="259"/>
      <c r="CD741" s="259"/>
      <c r="CE741" s="259"/>
      <c r="CF741" s="259"/>
      <c r="CG741" s="259"/>
      <c r="CH741" s="259"/>
      <c r="CI741" s="259"/>
      <c r="CJ741" s="259"/>
      <c r="CK741" s="259"/>
      <c r="CL741" s="259"/>
      <c r="CM741" s="259"/>
      <c r="CN741" s="259"/>
      <c r="CO741" s="259"/>
      <c r="CP741" s="259"/>
      <c r="CQ741" s="259"/>
      <c r="CR741" s="259"/>
      <c r="CS741" s="259"/>
      <c r="CT741" s="259"/>
      <c r="CU741" s="259"/>
      <c r="CV741" s="259"/>
      <c r="CW741" s="259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  <c r="BJ742" s="30"/>
      <c r="BK742" s="30"/>
      <c r="BL742" s="30"/>
      <c r="BM742" s="30"/>
      <c r="BN742" s="30"/>
      <c r="BO742" s="259"/>
      <c r="BP742" s="259"/>
      <c r="BQ742" s="259"/>
      <c r="BR742" s="259"/>
      <c r="BS742" s="259"/>
      <c r="BT742" s="259"/>
      <c r="BU742" s="259"/>
      <c r="BV742" s="259"/>
      <c r="BW742" s="259"/>
      <c r="BX742" s="259"/>
      <c r="BY742" s="259"/>
      <c r="BZ742" s="260"/>
      <c r="CA742" s="259"/>
      <c r="CB742" s="259"/>
      <c r="CC742" s="259"/>
      <c r="CD742" s="259"/>
      <c r="CE742" s="259"/>
      <c r="CF742" s="259"/>
      <c r="CG742" s="259"/>
      <c r="CH742" s="259"/>
      <c r="CI742" s="259"/>
      <c r="CJ742" s="259"/>
      <c r="CK742" s="259"/>
      <c r="CL742" s="259"/>
      <c r="CM742" s="259"/>
      <c r="CN742" s="259"/>
      <c r="CO742" s="259"/>
      <c r="CP742" s="259"/>
      <c r="CQ742" s="259"/>
      <c r="CR742" s="259"/>
      <c r="CS742" s="259"/>
      <c r="CT742" s="259"/>
      <c r="CU742" s="259"/>
      <c r="CV742" s="259"/>
      <c r="CW742" s="259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  <c r="BI743" s="30"/>
      <c r="BJ743" s="30"/>
      <c r="BK743" s="30"/>
      <c r="BL743" s="30"/>
      <c r="BM743" s="30"/>
      <c r="BN743" s="30"/>
      <c r="BO743" s="259"/>
      <c r="BP743" s="259"/>
      <c r="BQ743" s="259"/>
      <c r="BR743" s="259"/>
      <c r="BS743" s="259"/>
      <c r="BT743" s="259"/>
      <c r="BU743" s="259"/>
      <c r="BV743" s="259"/>
      <c r="BW743" s="259"/>
      <c r="BX743" s="259"/>
      <c r="BY743" s="259"/>
      <c r="BZ743" s="260"/>
      <c r="CA743" s="259"/>
      <c r="CB743" s="259"/>
      <c r="CC743" s="259"/>
      <c r="CD743" s="259"/>
      <c r="CE743" s="259"/>
      <c r="CF743" s="259"/>
      <c r="CG743" s="259"/>
      <c r="CH743" s="259"/>
      <c r="CI743" s="259"/>
      <c r="CJ743" s="259"/>
      <c r="CK743" s="259"/>
      <c r="CL743" s="259"/>
      <c r="CM743" s="259"/>
      <c r="CN743" s="259"/>
      <c r="CO743" s="259"/>
      <c r="CP743" s="259"/>
      <c r="CQ743" s="259"/>
      <c r="CR743" s="259"/>
      <c r="CS743" s="259"/>
      <c r="CT743" s="259"/>
      <c r="CU743" s="259"/>
      <c r="CV743" s="259"/>
      <c r="CW743" s="259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30"/>
      <c r="BI744" s="30"/>
      <c r="BJ744" s="30"/>
      <c r="BK744" s="30"/>
      <c r="BL744" s="30"/>
      <c r="BM744" s="30"/>
      <c r="BN744" s="30"/>
      <c r="BO744" s="259"/>
      <c r="BP744" s="259"/>
      <c r="BQ744" s="259"/>
      <c r="BR744" s="259"/>
      <c r="BS744" s="259"/>
      <c r="BT744" s="259"/>
      <c r="BU744" s="259"/>
      <c r="BV744" s="259"/>
      <c r="BW744" s="259"/>
      <c r="BX744" s="259"/>
      <c r="BY744" s="259"/>
      <c r="BZ744" s="260"/>
      <c r="CA744" s="259"/>
      <c r="CB744" s="259"/>
      <c r="CC744" s="259"/>
      <c r="CD744" s="259"/>
      <c r="CE744" s="259"/>
      <c r="CF744" s="259"/>
      <c r="CG744" s="259"/>
      <c r="CH744" s="259"/>
      <c r="CI744" s="259"/>
      <c r="CJ744" s="259"/>
      <c r="CK744" s="259"/>
      <c r="CL744" s="259"/>
      <c r="CM744" s="259"/>
      <c r="CN744" s="259"/>
      <c r="CO744" s="259"/>
      <c r="CP744" s="259"/>
      <c r="CQ744" s="259"/>
      <c r="CR744" s="259"/>
      <c r="CS744" s="259"/>
      <c r="CT744" s="259"/>
      <c r="CU744" s="259"/>
      <c r="CV744" s="259"/>
      <c r="CW744" s="259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  <c r="BI745" s="30"/>
      <c r="BJ745" s="30"/>
      <c r="BK745" s="30"/>
      <c r="BL745" s="30"/>
      <c r="BM745" s="30"/>
      <c r="BN745" s="30"/>
      <c r="BO745" s="259"/>
      <c r="BP745" s="259"/>
      <c r="BQ745" s="259"/>
      <c r="BR745" s="259"/>
      <c r="BS745" s="259"/>
      <c r="BT745" s="259"/>
      <c r="BU745" s="259"/>
      <c r="BV745" s="259"/>
      <c r="BW745" s="259"/>
      <c r="BX745" s="259"/>
      <c r="BY745" s="259"/>
      <c r="BZ745" s="260"/>
      <c r="CA745" s="259"/>
      <c r="CB745" s="259"/>
      <c r="CC745" s="259"/>
      <c r="CD745" s="259"/>
      <c r="CE745" s="259"/>
      <c r="CF745" s="259"/>
      <c r="CG745" s="259"/>
      <c r="CH745" s="259"/>
      <c r="CI745" s="259"/>
      <c r="CJ745" s="259"/>
      <c r="CK745" s="259"/>
      <c r="CL745" s="259"/>
      <c r="CM745" s="259"/>
      <c r="CN745" s="259"/>
      <c r="CO745" s="259"/>
      <c r="CP745" s="259"/>
      <c r="CQ745" s="259"/>
      <c r="CR745" s="259"/>
      <c r="CS745" s="259"/>
      <c r="CT745" s="259"/>
      <c r="CU745" s="259"/>
      <c r="CV745" s="259"/>
      <c r="CW745" s="259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  <c r="BJ746" s="30"/>
      <c r="BK746" s="30"/>
      <c r="BL746" s="30"/>
      <c r="BM746" s="30"/>
      <c r="BN746" s="30"/>
      <c r="BO746" s="259"/>
      <c r="BP746" s="259"/>
      <c r="BQ746" s="259"/>
      <c r="BR746" s="259"/>
      <c r="BS746" s="259"/>
      <c r="BT746" s="259"/>
      <c r="BU746" s="259"/>
      <c r="BV746" s="259"/>
      <c r="BW746" s="259"/>
      <c r="BX746" s="259"/>
      <c r="BY746" s="259"/>
      <c r="BZ746" s="260"/>
      <c r="CA746" s="259"/>
      <c r="CB746" s="259"/>
      <c r="CC746" s="259"/>
      <c r="CD746" s="259"/>
      <c r="CE746" s="259"/>
      <c r="CF746" s="259"/>
      <c r="CG746" s="259"/>
      <c r="CH746" s="259"/>
      <c r="CI746" s="259"/>
      <c r="CJ746" s="259"/>
      <c r="CK746" s="259"/>
      <c r="CL746" s="259"/>
      <c r="CM746" s="259"/>
      <c r="CN746" s="259"/>
      <c r="CO746" s="259"/>
      <c r="CP746" s="259"/>
      <c r="CQ746" s="259"/>
      <c r="CR746" s="259"/>
      <c r="CS746" s="259"/>
      <c r="CT746" s="259"/>
      <c r="CU746" s="259"/>
      <c r="CV746" s="259"/>
      <c r="CW746" s="259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30"/>
      <c r="BN747" s="30"/>
      <c r="BO747" s="259"/>
      <c r="BP747" s="259"/>
      <c r="BQ747" s="259"/>
      <c r="BR747" s="259"/>
      <c r="BS747" s="259"/>
      <c r="BT747" s="259"/>
      <c r="BU747" s="259"/>
      <c r="BV747" s="259"/>
      <c r="BW747" s="259"/>
      <c r="BX747" s="259"/>
      <c r="BY747" s="259"/>
      <c r="BZ747" s="260"/>
      <c r="CA747" s="259"/>
      <c r="CB747" s="259"/>
      <c r="CC747" s="259"/>
      <c r="CD747" s="259"/>
      <c r="CE747" s="259"/>
      <c r="CF747" s="259"/>
      <c r="CG747" s="259"/>
      <c r="CH747" s="259"/>
      <c r="CI747" s="259"/>
      <c r="CJ747" s="259"/>
      <c r="CK747" s="259"/>
      <c r="CL747" s="259"/>
      <c r="CM747" s="259"/>
      <c r="CN747" s="259"/>
      <c r="CO747" s="259"/>
      <c r="CP747" s="259"/>
      <c r="CQ747" s="259"/>
      <c r="CR747" s="259"/>
      <c r="CS747" s="259"/>
      <c r="CT747" s="259"/>
      <c r="CU747" s="259"/>
      <c r="CV747" s="259"/>
      <c r="CW747" s="259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  <c r="BJ748" s="30"/>
      <c r="BK748" s="30"/>
      <c r="BL748" s="30"/>
      <c r="BM748" s="30"/>
      <c r="BN748" s="30"/>
      <c r="BO748" s="259"/>
      <c r="BP748" s="259"/>
      <c r="BQ748" s="259"/>
      <c r="BR748" s="259"/>
      <c r="BS748" s="259"/>
      <c r="BT748" s="259"/>
      <c r="BU748" s="259"/>
      <c r="BV748" s="259"/>
      <c r="BW748" s="259"/>
      <c r="BX748" s="259"/>
      <c r="BY748" s="259"/>
      <c r="BZ748" s="260"/>
      <c r="CA748" s="259"/>
      <c r="CB748" s="259"/>
      <c r="CC748" s="259"/>
      <c r="CD748" s="259"/>
      <c r="CE748" s="259"/>
      <c r="CF748" s="259"/>
      <c r="CG748" s="259"/>
      <c r="CH748" s="259"/>
      <c r="CI748" s="259"/>
      <c r="CJ748" s="259"/>
      <c r="CK748" s="259"/>
      <c r="CL748" s="259"/>
      <c r="CM748" s="259"/>
      <c r="CN748" s="259"/>
      <c r="CO748" s="259"/>
      <c r="CP748" s="259"/>
      <c r="CQ748" s="259"/>
      <c r="CR748" s="259"/>
      <c r="CS748" s="259"/>
      <c r="CT748" s="259"/>
      <c r="CU748" s="259"/>
      <c r="CV748" s="259"/>
      <c r="CW748" s="259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  <c r="BI749" s="30"/>
      <c r="BJ749" s="30"/>
      <c r="BK749" s="30"/>
      <c r="BL749" s="30"/>
      <c r="BM749" s="30"/>
      <c r="BN749" s="30"/>
      <c r="BO749" s="259"/>
      <c r="BP749" s="259"/>
      <c r="BQ749" s="259"/>
      <c r="BR749" s="259"/>
      <c r="BS749" s="259"/>
      <c r="BT749" s="259"/>
      <c r="BU749" s="259"/>
      <c r="BV749" s="259"/>
      <c r="BW749" s="259"/>
      <c r="BX749" s="259"/>
      <c r="BY749" s="259"/>
      <c r="BZ749" s="260"/>
      <c r="CA749" s="259"/>
      <c r="CB749" s="259"/>
      <c r="CC749" s="259"/>
      <c r="CD749" s="259"/>
      <c r="CE749" s="259"/>
      <c r="CF749" s="259"/>
      <c r="CG749" s="259"/>
      <c r="CH749" s="259"/>
      <c r="CI749" s="259"/>
      <c r="CJ749" s="259"/>
      <c r="CK749" s="259"/>
      <c r="CL749" s="259"/>
      <c r="CM749" s="259"/>
      <c r="CN749" s="259"/>
      <c r="CO749" s="259"/>
      <c r="CP749" s="259"/>
      <c r="CQ749" s="259"/>
      <c r="CR749" s="259"/>
      <c r="CS749" s="259"/>
      <c r="CT749" s="259"/>
      <c r="CU749" s="259"/>
      <c r="CV749" s="259"/>
      <c r="CW749" s="259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  <c r="BI750" s="30"/>
      <c r="BJ750" s="30"/>
      <c r="BK750" s="30"/>
      <c r="BL750" s="30"/>
      <c r="BM750" s="30"/>
      <c r="BN750" s="30"/>
      <c r="BO750" s="259"/>
      <c r="BP750" s="259"/>
      <c r="BQ750" s="259"/>
      <c r="BR750" s="259"/>
      <c r="BS750" s="259"/>
      <c r="BT750" s="259"/>
      <c r="BU750" s="259"/>
      <c r="BV750" s="259"/>
      <c r="BW750" s="259"/>
      <c r="BX750" s="259"/>
      <c r="BY750" s="259"/>
      <c r="BZ750" s="260"/>
      <c r="CA750" s="259"/>
      <c r="CB750" s="259"/>
      <c r="CC750" s="259"/>
      <c r="CD750" s="259"/>
      <c r="CE750" s="259"/>
      <c r="CF750" s="259"/>
      <c r="CG750" s="259"/>
      <c r="CH750" s="259"/>
      <c r="CI750" s="259"/>
      <c r="CJ750" s="259"/>
      <c r="CK750" s="259"/>
      <c r="CL750" s="259"/>
      <c r="CM750" s="259"/>
      <c r="CN750" s="259"/>
      <c r="CO750" s="259"/>
      <c r="CP750" s="259"/>
      <c r="CQ750" s="259"/>
      <c r="CR750" s="259"/>
      <c r="CS750" s="259"/>
      <c r="CT750" s="259"/>
      <c r="CU750" s="259"/>
      <c r="CV750" s="259"/>
      <c r="CW750" s="259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30"/>
      <c r="BI751" s="30"/>
      <c r="BJ751" s="30"/>
      <c r="BK751" s="30"/>
      <c r="BL751" s="30"/>
      <c r="BM751" s="30"/>
      <c r="BN751" s="30"/>
      <c r="BO751" s="259"/>
      <c r="BP751" s="259"/>
      <c r="BQ751" s="259"/>
      <c r="BR751" s="259"/>
      <c r="BS751" s="259"/>
      <c r="BT751" s="259"/>
      <c r="BU751" s="259"/>
      <c r="BV751" s="259"/>
      <c r="BW751" s="259"/>
      <c r="BX751" s="259"/>
      <c r="BY751" s="259"/>
      <c r="BZ751" s="260"/>
      <c r="CA751" s="259"/>
      <c r="CB751" s="259"/>
      <c r="CC751" s="259"/>
      <c r="CD751" s="259"/>
      <c r="CE751" s="259"/>
      <c r="CF751" s="259"/>
      <c r="CG751" s="259"/>
      <c r="CH751" s="259"/>
      <c r="CI751" s="259"/>
      <c r="CJ751" s="259"/>
      <c r="CK751" s="259"/>
      <c r="CL751" s="259"/>
      <c r="CM751" s="259"/>
      <c r="CN751" s="259"/>
      <c r="CO751" s="259"/>
      <c r="CP751" s="259"/>
      <c r="CQ751" s="259"/>
      <c r="CR751" s="259"/>
      <c r="CS751" s="259"/>
      <c r="CT751" s="259"/>
      <c r="CU751" s="259"/>
      <c r="CV751" s="259"/>
      <c r="CW751" s="259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30"/>
      <c r="BN752" s="30"/>
      <c r="BO752" s="259"/>
      <c r="BP752" s="259"/>
      <c r="BQ752" s="259"/>
      <c r="BR752" s="259"/>
      <c r="BS752" s="259"/>
      <c r="BT752" s="259"/>
      <c r="BU752" s="259"/>
      <c r="BV752" s="259"/>
      <c r="BW752" s="259"/>
      <c r="BX752" s="259"/>
      <c r="BY752" s="259"/>
      <c r="BZ752" s="260"/>
      <c r="CA752" s="259"/>
      <c r="CB752" s="259"/>
      <c r="CC752" s="259"/>
      <c r="CD752" s="259"/>
      <c r="CE752" s="259"/>
      <c r="CF752" s="259"/>
      <c r="CG752" s="259"/>
      <c r="CH752" s="259"/>
      <c r="CI752" s="259"/>
      <c r="CJ752" s="259"/>
      <c r="CK752" s="259"/>
      <c r="CL752" s="259"/>
      <c r="CM752" s="259"/>
      <c r="CN752" s="259"/>
      <c r="CO752" s="259"/>
      <c r="CP752" s="259"/>
      <c r="CQ752" s="259"/>
      <c r="CR752" s="259"/>
      <c r="CS752" s="259"/>
      <c r="CT752" s="259"/>
      <c r="CU752" s="259"/>
      <c r="CV752" s="259"/>
      <c r="CW752" s="259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  <c r="BJ753" s="30"/>
      <c r="BK753" s="30"/>
      <c r="BL753" s="30"/>
      <c r="BM753" s="30"/>
      <c r="BN753" s="30"/>
      <c r="BO753" s="259"/>
      <c r="BP753" s="259"/>
      <c r="BQ753" s="259"/>
      <c r="BR753" s="259"/>
      <c r="BS753" s="259"/>
      <c r="BT753" s="259"/>
      <c r="BU753" s="259"/>
      <c r="BV753" s="259"/>
      <c r="BW753" s="259"/>
      <c r="BX753" s="259"/>
      <c r="BY753" s="259"/>
      <c r="BZ753" s="260"/>
      <c r="CA753" s="259"/>
      <c r="CB753" s="259"/>
      <c r="CC753" s="259"/>
      <c r="CD753" s="259"/>
      <c r="CE753" s="259"/>
      <c r="CF753" s="259"/>
      <c r="CG753" s="259"/>
      <c r="CH753" s="259"/>
      <c r="CI753" s="259"/>
      <c r="CJ753" s="259"/>
      <c r="CK753" s="259"/>
      <c r="CL753" s="259"/>
      <c r="CM753" s="259"/>
      <c r="CN753" s="259"/>
      <c r="CO753" s="259"/>
      <c r="CP753" s="259"/>
      <c r="CQ753" s="259"/>
      <c r="CR753" s="259"/>
      <c r="CS753" s="259"/>
      <c r="CT753" s="259"/>
      <c r="CU753" s="259"/>
      <c r="CV753" s="259"/>
      <c r="CW753" s="259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  <c r="BN754" s="30"/>
      <c r="BO754" s="259"/>
      <c r="BP754" s="259"/>
      <c r="BQ754" s="259"/>
      <c r="BR754" s="259"/>
      <c r="BS754" s="259"/>
      <c r="BT754" s="259"/>
      <c r="BU754" s="259"/>
      <c r="BV754" s="259"/>
      <c r="BW754" s="259"/>
      <c r="BX754" s="259"/>
      <c r="BY754" s="259"/>
      <c r="BZ754" s="260"/>
      <c r="CA754" s="259"/>
      <c r="CB754" s="259"/>
      <c r="CC754" s="259"/>
      <c r="CD754" s="259"/>
      <c r="CE754" s="259"/>
      <c r="CF754" s="259"/>
      <c r="CG754" s="259"/>
      <c r="CH754" s="259"/>
      <c r="CI754" s="259"/>
      <c r="CJ754" s="259"/>
      <c r="CK754" s="259"/>
      <c r="CL754" s="259"/>
      <c r="CM754" s="259"/>
      <c r="CN754" s="259"/>
      <c r="CO754" s="259"/>
      <c r="CP754" s="259"/>
      <c r="CQ754" s="259"/>
      <c r="CR754" s="259"/>
      <c r="CS754" s="259"/>
      <c r="CT754" s="259"/>
      <c r="CU754" s="259"/>
      <c r="CV754" s="259"/>
      <c r="CW754" s="259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  <c r="BJ755" s="30"/>
      <c r="BK755" s="30"/>
      <c r="BL755" s="30"/>
      <c r="BM755" s="30"/>
      <c r="BN755" s="30"/>
      <c r="BO755" s="259"/>
      <c r="BP755" s="259"/>
      <c r="BQ755" s="259"/>
      <c r="BR755" s="259"/>
      <c r="BS755" s="259"/>
      <c r="BT755" s="259"/>
      <c r="BU755" s="259"/>
      <c r="BV755" s="259"/>
      <c r="BW755" s="259"/>
      <c r="BX755" s="259"/>
      <c r="BY755" s="259"/>
      <c r="BZ755" s="260"/>
      <c r="CA755" s="259"/>
      <c r="CB755" s="259"/>
      <c r="CC755" s="259"/>
      <c r="CD755" s="259"/>
      <c r="CE755" s="259"/>
      <c r="CF755" s="259"/>
      <c r="CG755" s="259"/>
      <c r="CH755" s="259"/>
      <c r="CI755" s="259"/>
      <c r="CJ755" s="259"/>
      <c r="CK755" s="259"/>
      <c r="CL755" s="259"/>
      <c r="CM755" s="259"/>
      <c r="CN755" s="259"/>
      <c r="CO755" s="259"/>
      <c r="CP755" s="259"/>
      <c r="CQ755" s="259"/>
      <c r="CR755" s="259"/>
      <c r="CS755" s="259"/>
      <c r="CT755" s="259"/>
      <c r="CU755" s="259"/>
      <c r="CV755" s="259"/>
      <c r="CW755" s="259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  <c r="BI756" s="30"/>
      <c r="BJ756" s="30"/>
      <c r="BK756" s="30"/>
      <c r="BL756" s="30"/>
      <c r="BM756" s="30"/>
      <c r="BN756" s="30"/>
      <c r="BO756" s="259"/>
      <c r="BP756" s="259"/>
      <c r="BQ756" s="259"/>
      <c r="BR756" s="259"/>
      <c r="BS756" s="259"/>
      <c r="BT756" s="259"/>
      <c r="BU756" s="259"/>
      <c r="BV756" s="259"/>
      <c r="BW756" s="259"/>
      <c r="BX756" s="259"/>
      <c r="BY756" s="259"/>
      <c r="BZ756" s="260"/>
      <c r="CA756" s="259"/>
      <c r="CB756" s="259"/>
      <c r="CC756" s="259"/>
      <c r="CD756" s="259"/>
      <c r="CE756" s="259"/>
      <c r="CF756" s="259"/>
      <c r="CG756" s="259"/>
      <c r="CH756" s="259"/>
      <c r="CI756" s="259"/>
      <c r="CJ756" s="259"/>
      <c r="CK756" s="259"/>
      <c r="CL756" s="259"/>
      <c r="CM756" s="259"/>
      <c r="CN756" s="259"/>
      <c r="CO756" s="259"/>
      <c r="CP756" s="259"/>
      <c r="CQ756" s="259"/>
      <c r="CR756" s="259"/>
      <c r="CS756" s="259"/>
      <c r="CT756" s="259"/>
      <c r="CU756" s="259"/>
      <c r="CV756" s="259"/>
      <c r="CW756" s="259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  <c r="BI757" s="30"/>
      <c r="BJ757" s="30"/>
      <c r="BK757" s="30"/>
      <c r="BL757" s="30"/>
      <c r="BM757" s="30"/>
      <c r="BN757" s="30"/>
      <c r="BO757" s="259"/>
      <c r="BP757" s="259"/>
      <c r="BQ757" s="259"/>
      <c r="BR757" s="259"/>
      <c r="BS757" s="259"/>
      <c r="BT757" s="259"/>
      <c r="BU757" s="259"/>
      <c r="BV757" s="259"/>
      <c r="BW757" s="259"/>
      <c r="BX757" s="259"/>
      <c r="BY757" s="259"/>
      <c r="BZ757" s="260"/>
      <c r="CA757" s="259"/>
      <c r="CB757" s="259"/>
      <c r="CC757" s="259"/>
      <c r="CD757" s="259"/>
      <c r="CE757" s="259"/>
      <c r="CF757" s="259"/>
      <c r="CG757" s="259"/>
      <c r="CH757" s="259"/>
      <c r="CI757" s="259"/>
      <c r="CJ757" s="259"/>
      <c r="CK757" s="259"/>
      <c r="CL757" s="259"/>
      <c r="CM757" s="259"/>
      <c r="CN757" s="259"/>
      <c r="CO757" s="259"/>
      <c r="CP757" s="259"/>
      <c r="CQ757" s="259"/>
      <c r="CR757" s="259"/>
      <c r="CS757" s="259"/>
      <c r="CT757" s="259"/>
      <c r="CU757" s="259"/>
      <c r="CV757" s="259"/>
      <c r="CW757" s="259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  <c r="BJ758" s="30"/>
      <c r="BK758" s="30"/>
      <c r="BL758" s="30"/>
      <c r="BM758" s="30"/>
      <c r="BN758" s="30"/>
      <c r="BO758" s="259"/>
      <c r="BP758" s="259"/>
      <c r="BQ758" s="259"/>
      <c r="BR758" s="259"/>
      <c r="BS758" s="259"/>
      <c r="BT758" s="259"/>
      <c r="BU758" s="259"/>
      <c r="BV758" s="259"/>
      <c r="BW758" s="259"/>
      <c r="BX758" s="259"/>
      <c r="BY758" s="259"/>
      <c r="BZ758" s="260"/>
      <c r="CA758" s="259"/>
      <c r="CB758" s="259"/>
      <c r="CC758" s="259"/>
      <c r="CD758" s="259"/>
      <c r="CE758" s="259"/>
      <c r="CF758" s="259"/>
      <c r="CG758" s="259"/>
      <c r="CH758" s="259"/>
      <c r="CI758" s="259"/>
      <c r="CJ758" s="259"/>
      <c r="CK758" s="259"/>
      <c r="CL758" s="259"/>
      <c r="CM758" s="259"/>
      <c r="CN758" s="259"/>
      <c r="CO758" s="259"/>
      <c r="CP758" s="259"/>
      <c r="CQ758" s="259"/>
      <c r="CR758" s="259"/>
      <c r="CS758" s="259"/>
      <c r="CT758" s="259"/>
      <c r="CU758" s="259"/>
      <c r="CV758" s="259"/>
      <c r="CW758" s="259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30"/>
      <c r="BN759" s="30"/>
      <c r="BO759" s="259"/>
      <c r="BP759" s="259"/>
      <c r="BQ759" s="259"/>
      <c r="BR759" s="259"/>
      <c r="BS759" s="259"/>
      <c r="BT759" s="259"/>
      <c r="BU759" s="259"/>
      <c r="BV759" s="259"/>
      <c r="BW759" s="259"/>
      <c r="BX759" s="259"/>
      <c r="BY759" s="259"/>
      <c r="BZ759" s="260"/>
      <c r="CA759" s="259"/>
      <c r="CB759" s="259"/>
      <c r="CC759" s="259"/>
      <c r="CD759" s="259"/>
      <c r="CE759" s="259"/>
      <c r="CF759" s="259"/>
      <c r="CG759" s="259"/>
      <c r="CH759" s="259"/>
      <c r="CI759" s="259"/>
      <c r="CJ759" s="259"/>
      <c r="CK759" s="259"/>
      <c r="CL759" s="259"/>
      <c r="CM759" s="259"/>
      <c r="CN759" s="259"/>
      <c r="CO759" s="259"/>
      <c r="CP759" s="259"/>
      <c r="CQ759" s="259"/>
      <c r="CR759" s="259"/>
      <c r="CS759" s="259"/>
      <c r="CT759" s="259"/>
      <c r="CU759" s="259"/>
      <c r="CV759" s="259"/>
      <c r="CW759" s="259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  <c r="BI760" s="30"/>
      <c r="BJ760" s="30"/>
      <c r="BK760" s="30"/>
      <c r="BL760" s="30"/>
      <c r="BM760" s="30"/>
      <c r="BN760" s="30"/>
      <c r="BO760" s="259"/>
      <c r="BP760" s="259"/>
      <c r="BQ760" s="259"/>
      <c r="BR760" s="259"/>
      <c r="BS760" s="259"/>
      <c r="BT760" s="259"/>
      <c r="BU760" s="259"/>
      <c r="BV760" s="259"/>
      <c r="BW760" s="259"/>
      <c r="BX760" s="259"/>
      <c r="BY760" s="259"/>
      <c r="BZ760" s="260"/>
      <c r="CA760" s="259"/>
      <c r="CB760" s="259"/>
      <c r="CC760" s="259"/>
      <c r="CD760" s="259"/>
      <c r="CE760" s="259"/>
      <c r="CF760" s="259"/>
      <c r="CG760" s="259"/>
      <c r="CH760" s="259"/>
      <c r="CI760" s="259"/>
      <c r="CJ760" s="259"/>
      <c r="CK760" s="259"/>
      <c r="CL760" s="259"/>
      <c r="CM760" s="259"/>
      <c r="CN760" s="259"/>
      <c r="CO760" s="259"/>
      <c r="CP760" s="259"/>
      <c r="CQ760" s="259"/>
      <c r="CR760" s="259"/>
      <c r="CS760" s="259"/>
      <c r="CT760" s="259"/>
      <c r="CU760" s="259"/>
      <c r="CV760" s="259"/>
      <c r="CW760" s="259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  <c r="BJ761" s="30"/>
      <c r="BK761" s="30"/>
      <c r="BL761" s="30"/>
      <c r="BM761" s="30"/>
      <c r="BN761" s="30"/>
      <c r="BO761" s="259"/>
      <c r="BP761" s="259"/>
      <c r="BQ761" s="259"/>
      <c r="BR761" s="259"/>
      <c r="BS761" s="259"/>
      <c r="BT761" s="259"/>
      <c r="BU761" s="259"/>
      <c r="BV761" s="259"/>
      <c r="BW761" s="259"/>
      <c r="BX761" s="259"/>
      <c r="BY761" s="259"/>
      <c r="BZ761" s="260"/>
      <c r="CA761" s="259"/>
      <c r="CB761" s="259"/>
      <c r="CC761" s="259"/>
      <c r="CD761" s="259"/>
      <c r="CE761" s="259"/>
      <c r="CF761" s="259"/>
      <c r="CG761" s="259"/>
      <c r="CH761" s="259"/>
      <c r="CI761" s="259"/>
      <c r="CJ761" s="259"/>
      <c r="CK761" s="259"/>
      <c r="CL761" s="259"/>
      <c r="CM761" s="259"/>
      <c r="CN761" s="259"/>
      <c r="CO761" s="259"/>
      <c r="CP761" s="259"/>
      <c r="CQ761" s="259"/>
      <c r="CR761" s="259"/>
      <c r="CS761" s="259"/>
      <c r="CT761" s="259"/>
      <c r="CU761" s="259"/>
      <c r="CV761" s="259"/>
      <c r="CW761" s="259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  <c r="BI762" s="30"/>
      <c r="BJ762" s="30"/>
      <c r="BK762" s="30"/>
      <c r="BL762" s="30"/>
      <c r="BM762" s="30"/>
      <c r="BN762" s="30"/>
      <c r="BO762" s="259"/>
      <c r="BP762" s="259"/>
      <c r="BQ762" s="259"/>
      <c r="BR762" s="259"/>
      <c r="BS762" s="259"/>
      <c r="BT762" s="259"/>
      <c r="BU762" s="259"/>
      <c r="BV762" s="259"/>
      <c r="BW762" s="259"/>
      <c r="BX762" s="259"/>
      <c r="BY762" s="259"/>
      <c r="BZ762" s="260"/>
      <c r="CA762" s="259"/>
      <c r="CB762" s="259"/>
      <c r="CC762" s="259"/>
      <c r="CD762" s="259"/>
      <c r="CE762" s="259"/>
      <c r="CF762" s="259"/>
      <c r="CG762" s="259"/>
      <c r="CH762" s="259"/>
      <c r="CI762" s="259"/>
      <c r="CJ762" s="259"/>
      <c r="CK762" s="259"/>
      <c r="CL762" s="259"/>
      <c r="CM762" s="259"/>
      <c r="CN762" s="259"/>
      <c r="CO762" s="259"/>
      <c r="CP762" s="259"/>
      <c r="CQ762" s="259"/>
      <c r="CR762" s="259"/>
      <c r="CS762" s="259"/>
      <c r="CT762" s="259"/>
      <c r="CU762" s="259"/>
      <c r="CV762" s="259"/>
      <c r="CW762" s="259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/>
      <c r="BK763" s="30"/>
      <c r="BL763" s="30"/>
      <c r="BM763" s="30"/>
      <c r="BN763" s="30"/>
      <c r="BO763" s="259"/>
      <c r="BP763" s="259"/>
      <c r="BQ763" s="259"/>
      <c r="BR763" s="259"/>
      <c r="BS763" s="259"/>
      <c r="BT763" s="259"/>
      <c r="BU763" s="259"/>
      <c r="BV763" s="259"/>
      <c r="BW763" s="259"/>
      <c r="BX763" s="259"/>
      <c r="BY763" s="259"/>
      <c r="BZ763" s="260"/>
      <c r="CA763" s="259"/>
      <c r="CB763" s="259"/>
      <c r="CC763" s="259"/>
      <c r="CD763" s="259"/>
      <c r="CE763" s="259"/>
      <c r="CF763" s="259"/>
      <c r="CG763" s="259"/>
      <c r="CH763" s="259"/>
      <c r="CI763" s="259"/>
      <c r="CJ763" s="259"/>
      <c r="CK763" s="259"/>
      <c r="CL763" s="259"/>
      <c r="CM763" s="259"/>
      <c r="CN763" s="259"/>
      <c r="CO763" s="259"/>
      <c r="CP763" s="259"/>
      <c r="CQ763" s="259"/>
      <c r="CR763" s="259"/>
      <c r="CS763" s="259"/>
      <c r="CT763" s="259"/>
      <c r="CU763" s="259"/>
      <c r="CV763" s="259"/>
      <c r="CW763" s="259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30"/>
      <c r="BI764" s="30"/>
      <c r="BJ764" s="30"/>
      <c r="BK764" s="30"/>
      <c r="BL764" s="30"/>
      <c r="BM764" s="30"/>
      <c r="BN764" s="30"/>
      <c r="BO764" s="259"/>
      <c r="BP764" s="259"/>
      <c r="BQ764" s="259"/>
      <c r="BR764" s="259"/>
      <c r="BS764" s="259"/>
      <c r="BT764" s="259"/>
      <c r="BU764" s="259"/>
      <c r="BV764" s="259"/>
      <c r="BW764" s="259"/>
      <c r="BX764" s="259"/>
      <c r="BY764" s="259"/>
      <c r="BZ764" s="260"/>
      <c r="CA764" s="259"/>
      <c r="CB764" s="259"/>
      <c r="CC764" s="259"/>
      <c r="CD764" s="259"/>
      <c r="CE764" s="259"/>
      <c r="CF764" s="259"/>
      <c r="CG764" s="259"/>
      <c r="CH764" s="259"/>
      <c r="CI764" s="259"/>
      <c r="CJ764" s="259"/>
      <c r="CK764" s="259"/>
      <c r="CL764" s="259"/>
      <c r="CM764" s="259"/>
      <c r="CN764" s="259"/>
      <c r="CO764" s="259"/>
      <c r="CP764" s="259"/>
      <c r="CQ764" s="259"/>
      <c r="CR764" s="259"/>
      <c r="CS764" s="259"/>
      <c r="CT764" s="259"/>
      <c r="CU764" s="259"/>
      <c r="CV764" s="259"/>
      <c r="CW764" s="259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  <c r="BI765" s="30"/>
      <c r="BJ765" s="30"/>
      <c r="BK765" s="30"/>
      <c r="BL765" s="30"/>
      <c r="BM765" s="30"/>
      <c r="BN765" s="30"/>
      <c r="BO765" s="259"/>
      <c r="BP765" s="259"/>
      <c r="BQ765" s="259"/>
      <c r="BR765" s="259"/>
      <c r="BS765" s="259"/>
      <c r="BT765" s="259"/>
      <c r="BU765" s="259"/>
      <c r="BV765" s="259"/>
      <c r="BW765" s="259"/>
      <c r="BX765" s="259"/>
      <c r="BY765" s="259"/>
      <c r="BZ765" s="260"/>
      <c r="CA765" s="259"/>
      <c r="CB765" s="259"/>
      <c r="CC765" s="259"/>
      <c r="CD765" s="259"/>
      <c r="CE765" s="259"/>
      <c r="CF765" s="259"/>
      <c r="CG765" s="259"/>
      <c r="CH765" s="259"/>
      <c r="CI765" s="259"/>
      <c r="CJ765" s="259"/>
      <c r="CK765" s="259"/>
      <c r="CL765" s="259"/>
      <c r="CM765" s="259"/>
      <c r="CN765" s="259"/>
      <c r="CO765" s="259"/>
      <c r="CP765" s="259"/>
      <c r="CQ765" s="259"/>
      <c r="CR765" s="259"/>
      <c r="CS765" s="259"/>
      <c r="CT765" s="259"/>
      <c r="CU765" s="259"/>
      <c r="CV765" s="259"/>
      <c r="CW765" s="259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  <c r="BJ766" s="30"/>
      <c r="BK766" s="30"/>
      <c r="BL766" s="30"/>
      <c r="BM766" s="30"/>
      <c r="BN766" s="30"/>
      <c r="BO766" s="259"/>
      <c r="BP766" s="259"/>
      <c r="BQ766" s="259"/>
      <c r="BR766" s="259"/>
      <c r="BS766" s="259"/>
      <c r="BT766" s="259"/>
      <c r="BU766" s="259"/>
      <c r="BV766" s="259"/>
      <c r="BW766" s="259"/>
      <c r="BX766" s="259"/>
      <c r="BY766" s="259"/>
      <c r="BZ766" s="260"/>
      <c r="CA766" s="259"/>
      <c r="CB766" s="259"/>
      <c r="CC766" s="259"/>
      <c r="CD766" s="259"/>
      <c r="CE766" s="259"/>
      <c r="CF766" s="259"/>
      <c r="CG766" s="259"/>
      <c r="CH766" s="259"/>
      <c r="CI766" s="259"/>
      <c r="CJ766" s="259"/>
      <c r="CK766" s="259"/>
      <c r="CL766" s="259"/>
      <c r="CM766" s="259"/>
      <c r="CN766" s="259"/>
      <c r="CO766" s="259"/>
      <c r="CP766" s="259"/>
      <c r="CQ766" s="259"/>
      <c r="CR766" s="259"/>
      <c r="CS766" s="259"/>
      <c r="CT766" s="259"/>
      <c r="CU766" s="259"/>
      <c r="CV766" s="259"/>
      <c r="CW766" s="259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30"/>
      <c r="BI767" s="30"/>
      <c r="BJ767" s="30"/>
      <c r="BK767" s="30"/>
      <c r="BL767" s="30"/>
      <c r="BM767" s="30"/>
      <c r="BN767" s="30"/>
      <c r="BO767" s="259"/>
      <c r="BP767" s="259"/>
      <c r="BQ767" s="259"/>
      <c r="BR767" s="259"/>
      <c r="BS767" s="259"/>
      <c r="BT767" s="259"/>
      <c r="BU767" s="259"/>
      <c r="BV767" s="259"/>
      <c r="BW767" s="259"/>
      <c r="BX767" s="259"/>
      <c r="BY767" s="259"/>
      <c r="BZ767" s="260"/>
      <c r="CA767" s="259"/>
      <c r="CB767" s="259"/>
      <c r="CC767" s="259"/>
      <c r="CD767" s="259"/>
      <c r="CE767" s="259"/>
      <c r="CF767" s="259"/>
      <c r="CG767" s="259"/>
      <c r="CH767" s="259"/>
      <c r="CI767" s="259"/>
      <c r="CJ767" s="259"/>
      <c r="CK767" s="259"/>
      <c r="CL767" s="259"/>
      <c r="CM767" s="259"/>
      <c r="CN767" s="259"/>
      <c r="CO767" s="259"/>
      <c r="CP767" s="259"/>
      <c r="CQ767" s="259"/>
      <c r="CR767" s="259"/>
      <c r="CS767" s="259"/>
      <c r="CT767" s="259"/>
      <c r="CU767" s="259"/>
      <c r="CV767" s="259"/>
      <c r="CW767" s="259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30"/>
      <c r="BI768" s="30"/>
      <c r="BJ768" s="30"/>
      <c r="BK768" s="30"/>
      <c r="BL768" s="30"/>
      <c r="BM768" s="30"/>
      <c r="BN768" s="30"/>
      <c r="BO768" s="259"/>
      <c r="BP768" s="259"/>
      <c r="BQ768" s="259"/>
      <c r="BR768" s="259"/>
      <c r="BS768" s="259"/>
      <c r="BT768" s="259"/>
      <c r="BU768" s="259"/>
      <c r="BV768" s="259"/>
      <c r="BW768" s="259"/>
      <c r="BX768" s="259"/>
      <c r="BY768" s="259"/>
      <c r="BZ768" s="260"/>
      <c r="CA768" s="259"/>
      <c r="CB768" s="259"/>
      <c r="CC768" s="259"/>
      <c r="CD768" s="259"/>
      <c r="CE768" s="259"/>
      <c r="CF768" s="259"/>
      <c r="CG768" s="259"/>
      <c r="CH768" s="259"/>
      <c r="CI768" s="259"/>
      <c r="CJ768" s="259"/>
      <c r="CK768" s="259"/>
      <c r="CL768" s="259"/>
      <c r="CM768" s="259"/>
      <c r="CN768" s="259"/>
      <c r="CO768" s="259"/>
      <c r="CP768" s="259"/>
      <c r="CQ768" s="259"/>
      <c r="CR768" s="259"/>
      <c r="CS768" s="259"/>
      <c r="CT768" s="259"/>
      <c r="CU768" s="259"/>
      <c r="CV768" s="259"/>
      <c r="CW768" s="259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  <c r="BI769" s="30"/>
      <c r="BJ769" s="30"/>
      <c r="BK769" s="30"/>
      <c r="BL769" s="30"/>
      <c r="BM769" s="30"/>
      <c r="BN769" s="30"/>
      <c r="BO769" s="259"/>
      <c r="BP769" s="259"/>
      <c r="BQ769" s="259"/>
      <c r="BR769" s="259"/>
      <c r="BS769" s="259"/>
      <c r="BT769" s="259"/>
      <c r="BU769" s="259"/>
      <c r="BV769" s="259"/>
      <c r="BW769" s="259"/>
      <c r="BX769" s="259"/>
      <c r="BY769" s="259"/>
      <c r="BZ769" s="260"/>
      <c r="CA769" s="259"/>
      <c r="CB769" s="259"/>
      <c r="CC769" s="259"/>
      <c r="CD769" s="259"/>
      <c r="CE769" s="259"/>
      <c r="CF769" s="259"/>
      <c r="CG769" s="259"/>
      <c r="CH769" s="259"/>
      <c r="CI769" s="259"/>
      <c r="CJ769" s="259"/>
      <c r="CK769" s="259"/>
      <c r="CL769" s="259"/>
      <c r="CM769" s="259"/>
      <c r="CN769" s="259"/>
      <c r="CO769" s="259"/>
      <c r="CP769" s="259"/>
      <c r="CQ769" s="259"/>
      <c r="CR769" s="259"/>
      <c r="CS769" s="259"/>
      <c r="CT769" s="259"/>
      <c r="CU769" s="259"/>
      <c r="CV769" s="259"/>
      <c r="CW769" s="259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  <c r="BF770" s="30"/>
      <c r="BG770" s="30"/>
      <c r="BH770" s="30"/>
      <c r="BI770" s="30"/>
      <c r="BJ770" s="30"/>
      <c r="BK770" s="30"/>
      <c r="BL770" s="30"/>
      <c r="BM770" s="30"/>
      <c r="BN770" s="30"/>
      <c r="BO770" s="259"/>
      <c r="BP770" s="259"/>
      <c r="BQ770" s="259"/>
      <c r="BR770" s="259"/>
      <c r="BS770" s="259"/>
      <c r="BT770" s="259"/>
      <c r="BU770" s="259"/>
      <c r="BV770" s="259"/>
      <c r="BW770" s="259"/>
      <c r="BX770" s="259"/>
      <c r="BY770" s="259"/>
      <c r="BZ770" s="260"/>
      <c r="CA770" s="259"/>
      <c r="CB770" s="259"/>
      <c r="CC770" s="259"/>
      <c r="CD770" s="259"/>
      <c r="CE770" s="259"/>
      <c r="CF770" s="259"/>
      <c r="CG770" s="259"/>
      <c r="CH770" s="259"/>
      <c r="CI770" s="259"/>
      <c r="CJ770" s="259"/>
      <c r="CK770" s="259"/>
      <c r="CL770" s="259"/>
      <c r="CM770" s="259"/>
      <c r="CN770" s="259"/>
      <c r="CO770" s="259"/>
      <c r="CP770" s="259"/>
      <c r="CQ770" s="259"/>
      <c r="CR770" s="259"/>
      <c r="CS770" s="259"/>
      <c r="CT770" s="259"/>
      <c r="CU770" s="259"/>
      <c r="CV770" s="259"/>
      <c r="CW770" s="259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  <c r="BF771" s="30"/>
      <c r="BG771" s="30"/>
      <c r="BH771" s="30"/>
      <c r="BI771" s="30"/>
      <c r="BJ771" s="30"/>
      <c r="BK771" s="30"/>
      <c r="BL771" s="30"/>
      <c r="BM771" s="30"/>
      <c r="BN771" s="30"/>
      <c r="BO771" s="259"/>
      <c r="BP771" s="259"/>
      <c r="BQ771" s="259"/>
      <c r="BR771" s="259"/>
      <c r="BS771" s="259"/>
      <c r="BT771" s="259"/>
      <c r="BU771" s="259"/>
      <c r="BV771" s="259"/>
      <c r="BW771" s="259"/>
      <c r="BX771" s="259"/>
      <c r="BY771" s="259"/>
      <c r="BZ771" s="260"/>
      <c r="CA771" s="259"/>
      <c r="CB771" s="259"/>
      <c r="CC771" s="259"/>
      <c r="CD771" s="259"/>
      <c r="CE771" s="259"/>
      <c r="CF771" s="259"/>
      <c r="CG771" s="259"/>
      <c r="CH771" s="259"/>
      <c r="CI771" s="259"/>
      <c r="CJ771" s="259"/>
      <c r="CK771" s="259"/>
      <c r="CL771" s="259"/>
      <c r="CM771" s="259"/>
      <c r="CN771" s="259"/>
      <c r="CO771" s="259"/>
      <c r="CP771" s="259"/>
      <c r="CQ771" s="259"/>
      <c r="CR771" s="259"/>
      <c r="CS771" s="259"/>
      <c r="CT771" s="259"/>
      <c r="CU771" s="259"/>
      <c r="CV771" s="259"/>
      <c r="CW771" s="259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  <c r="BF772" s="30"/>
      <c r="BG772" s="30"/>
      <c r="BH772" s="30"/>
      <c r="BI772" s="30"/>
      <c r="BJ772" s="30"/>
      <c r="BK772" s="30"/>
      <c r="BL772" s="30"/>
      <c r="BM772" s="30"/>
      <c r="BN772" s="30"/>
      <c r="BO772" s="259"/>
      <c r="BP772" s="259"/>
      <c r="BQ772" s="259"/>
      <c r="BR772" s="259"/>
      <c r="BS772" s="259"/>
      <c r="BT772" s="259"/>
      <c r="BU772" s="259"/>
      <c r="BV772" s="259"/>
      <c r="BW772" s="259"/>
      <c r="BX772" s="259"/>
      <c r="BY772" s="259"/>
      <c r="BZ772" s="260"/>
      <c r="CA772" s="259"/>
      <c r="CB772" s="259"/>
      <c r="CC772" s="259"/>
      <c r="CD772" s="259"/>
      <c r="CE772" s="259"/>
      <c r="CF772" s="259"/>
      <c r="CG772" s="259"/>
      <c r="CH772" s="259"/>
      <c r="CI772" s="259"/>
      <c r="CJ772" s="259"/>
      <c r="CK772" s="259"/>
      <c r="CL772" s="259"/>
      <c r="CM772" s="259"/>
      <c r="CN772" s="259"/>
      <c r="CO772" s="259"/>
      <c r="CP772" s="259"/>
      <c r="CQ772" s="259"/>
      <c r="CR772" s="259"/>
      <c r="CS772" s="259"/>
      <c r="CT772" s="259"/>
      <c r="CU772" s="259"/>
      <c r="CV772" s="259"/>
      <c r="CW772" s="259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30"/>
      <c r="BI773" s="30"/>
      <c r="BJ773" s="30"/>
      <c r="BK773" s="30"/>
      <c r="BL773" s="30"/>
      <c r="BM773" s="30"/>
      <c r="BN773" s="30"/>
      <c r="BO773" s="259"/>
      <c r="BP773" s="259"/>
      <c r="BQ773" s="259"/>
      <c r="BR773" s="259"/>
      <c r="BS773" s="259"/>
      <c r="BT773" s="259"/>
      <c r="BU773" s="259"/>
      <c r="BV773" s="259"/>
      <c r="BW773" s="259"/>
      <c r="BX773" s="259"/>
      <c r="BY773" s="259"/>
      <c r="BZ773" s="260"/>
      <c r="CA773" s="259"/>
      <c r="CB773" s="259"/>
      <c r="CC773" s="259"/>
      <c r="CD773" s="259"/>
      <c r="CE773" s="259"/>
      <c r="CF773" s="259"/>
      <c r="CG773" s="259"/>
      <c r="CH773" s="259"/>
      <c r="CI773" s="259"/>
      <c r="CJ773" s="259"/>
      <c r="CK773" s="259"/>
      <c r="CL773" s="259"/>
      <c r="CM773" s="259"/>
      <c r="CN773" s="259"/>
      <c r="CO773" s="259"/>
      <c r="CP773" s="259"/>
      <c r="CQ773" s="259"/>
      <c r="CR773" s="259"/>
      <c r="CS773" s="259"/>
      <c r="CT773" s="259"/>
      <c r="CU773" s="259"/>
      <c r="CV773" s="259"/>
      <c r="CW773" s="259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30"/>
      <c r="BI774" s="30"/>
      <c r="BJ774" s="30"/>
      <c r="BK774" s="30"/>
      <c r="BL774" s="30"/>
      <c r="BM774" s="30"/>
      <c r="BN774" s="30"/>
      <c r="BO774" s="259"/>
      <c r="BP774" s="259"/>
      <c r="BQ774" s="259"/>
      <c r="BR774" s="259"/>
      <c r="BS774" s="259"/>
      <c r="BT774" s="259"/>
      <c r="BU774" s="259"/>
      <c r="BV774" s="259"/>
      <c r="BW774" s="259"/>
      <c r="BX774" s="259"/>
      <c r="BY774" s="259"/>
      <c r="BZ774" s="260"/>
      <c r="CA774" s="259"/>
      <c r="CB774" s="259"/>
      <c r="CC774" s="259"/>
      <c r="CD774" s="259"/>
      <c r="CE774" s="259"/>
      <c r="CF774" s="259"/>
      <c r="CG774" s="259"/>
      <c r="CH774" s="259"/>
      <c r="CI774" s="259"/>
      <c r="CJ774" s="259"/>
      <c r="CK774" s="259"/>
      <c r="CL774" s="259"/>
      <c r="CM774" s="259"/>
      <c r="CN774" s="259"/>
      <c r="CO774" s="259"/>
      <c r="CP774" s="259"/>
      <c r="CQ774" s="259"/>
      <c r="CR774" s="259"/>
      <c r="CS774" s="259"/>
      <c r="CT774" s="259"/>
      <c r="CU774" s="259"/>
      <c r="CV774" s="259"/>
      <c r="CW774" s="259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0"/>
      <c r="BI775" s="30"/>
      <c r="BJ775" s="30"/>
      <c r="BK775" s="30"/>
      <c r="BL775" s="30"/>
      <c r="BM775" s="30"/>
      <c r="BN775" s="30"/>
      <c r="BO775" s="259"/>
      <c r="BP775" s="259"/>
      <c r="BQ775" s="259"/>
      <c r="BR775" s="259"/>
      <c r="BS775" s="259"/>
      <c r="BT775" s="259"/>
      <c r="BU775" s="259"/>
      <c r="BV775" s="259"/>
      <c r="BW775" s="259"/>
      <c r="BX775" s="259"/>
      <c r="BY775" s="259"/>
      <c r="BZ775" s="260"/>
      <c r="CA775" s="259"/>
      <c r="CB775" s="259"/>
      <c r="CC775" s="259"/>
      <c r="CD775" s="259"/>
      <c r="CE775" s="259"/>
      <c r="CF775" s="259"/>
      <c r="CG775" s="259"/>
      <c r="CH775" s="259"/>
      <c r="CI775" s="259"/>
      <c r="CJ775" s="259"/>
      <c r="CK775" s="259"/>
      <c r="CL775" s="259"/>
      <c r="CM775" s="259"/>
      <c r="CN775" s="259"/>
      <c r="CO775" s="259"/>
      <c r="CP775" s="259"/>
      <c r="CQ775" s="259"/>
      <c r="CR775" s="259"/>
      <c r="CS775" s="259"/>
      <c r="CT775" s="259"/>
      <c r="CU775" s="259"/>
      <c r="CV775" s="259"/>
      <c r="CW775" s="259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  <c r="BF776" s="30"/>
      <c r="BG776" s="30"/>
      <c r="BH776" s="30"/>
      <c r="BI776" s="30"/>
      <c r="BJ776" s="30"/>
      <c r="BK776" s="30"/>
      <c r="BL776" s="30"/>
      <c r="BM776" s="30"/>
      <c r="BN776" s="30"/>
      <c r="BO776" s="259"/>
      <c r="BP776" s="259"/>
      <c r="BQ776" s="259"/>
      <c r="BR776" s="259"/>
      <c r="BS776" s="259"/>
      <c r="BT776" s="259"/>
      <c r="BU776" s="259"/>
      <c r="BV776" s="259"/>
      <c r="BW776" s="259"/>
      <c r="BX776" s="259"/>
      <c r="BY776" s="259"/>
      <c r="BZ776" s="260"/>
      <c r="CA776" s="259"/>
      <c r="CB776" s="259"/>
      <c r="CC776" s="259"/>
      <c r="CD776" s="259"/>
      <c r="CE776" s="259"/>
      <c r="CF776" s="259"/>
      <c r="CG776" s="259"/>
      <c r="CH776" s="259"/>
      <c r="CI776" s="259"/>
      <c r="CJ776" s="259"/>
      <c r="CK776" s="259"/>
      <c r="CL776" s="259"/>
      <c r="CM776" s="259"/>
      <c r="CN776" s="259"/>
      <c r="CO776" s="259"/>
      <c r="CP776" s="259"/>
      <c r="CQ776" s="259"/>
      <c r="CR776" s="259"/>
      <c r="CS776" s="259"/>
      <c r="CT776" s="259"/>
      <c r="CU776" s="259"/>
      <c r="CV776" s="259"/>
      <c r="CW776" s="259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  <c r="BF777" s="30"/>
      <c r="BG777" s="30"/>
      <c r="BH777" s="30"/>
      <c r="BI777" s="30"/>
      <c r="BJ777" s="30"/>
      <c r="BK777" s="30"/>
      <c r="BL777" s="30"/>
      <c r="BM777" s="30"/>
      <c r="BN777" s="30"/>
      <c r="BO777" s="259"/>
      <c r="BP777" s="259"/>
      <c r="BQ777" s="259"/>
      <c r="BR777" s="259"/>
      <c r="BS777" s="259"/>
      <c r="BT777" s="259"/>
      <c r="BU777" s="259"/>
      <c r="BV777" s="259"/>
      <c r="BW777" s="259"/>
      <c r="BX777" s="259"/>
      <c r="BY777" s="259"/>
      <c r="BZ777" s="260"/>
      <c r="CA777" s="259"/>
      <c r="CB777" s="259"/>
      <c r="CC777" s="259"/>
      <c r="CD777" s="259"/>
      <c r="CE777" s="259"/>
      <c r="CF777" s="259"/>
      <c r="CG777" s="259"/>
      <c r="CH777" s="259"/>
      <c r="CI777" s="259"/>
      <c r="CJ777" s="259"/>
      <c r="CK777" s="259"/>
      <c r="CL777" s="259"/>
      <c r="CM777" s="259"/>
      <c r="CN777" s="259"/>
      <c r="CO777" s="259"/>
      <c r="CP777" s="259"/>
      <c r="CQ777" s="259"/>
      <c r="CR777" s="259"/>
      <c r="CS777" s="259"/>
      <c r="CT777" s="259"/>
      <c r="CU777" s="259"/>
      <c r="CV777" s="259"/>
      <c r="CW777" s="259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  <c r="BF778" s="30"/>
      <c r="BG778" s="30"/>
      <c r="BH778" s="30"/>
      <c r="BI778" s="30"/>
      <c r="BJ778" s="30"/>
      <c r="BK778" s="30"/>
      <c r="BL778" s="30"/>
      <c r="BM778" s="30"/>
      <c r="BN778" s="30"/>
      <c r="BO778" s="259"/>
      <c r="BP778" s="259"/>
      <c r="BQ778" s="259"/>
      <c r="BR778" s="259"/>
      <c r="BS778" s="259"/>
      <c r="BT778" s="259"/>
      <c r="BU778" s="259"/>
      <c r="BV778" s="259"/>
      <c r="BW778" s="259"/>
      <c r="BX778" s="259"/>
      <c r="BY778" s="259"/>
      <c r="BZ778" s="260"/>
      <c r="CA778" s="259"/>
      <c r="CB778" s="259"/>
      <c r="CC778" s="259"/>
      <c r="CD778" s="259"/>
      <c r="CE778" s="259"/>
      <c r="CF778" s="259"/>
      <c r="CG778" s="259"/>
      <c r="CH778" s="259"/>
      <c r="CI778" s="259"/>
      <c r="CJ778" s="259"/>
      <c r="CK778" s="259"/>
      <c r="CL778" s="259"/>
      <c r="CM778" s="259"/>
      <c r="CN778" s="259"/>
      <c r="CO778" s="259"/>
      <c r="CP778" s="259"/>
      <c r="CQ778" s="259"/>
      <c r="CR778" s="259"/>
      <c r="CS778" s="259"/>
      <c r="CT778" s="259"/>
      <c r="CU778" s="259"/>
      <c r="CV778" s="259"/>
      <c r="CW778" s="259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  <c r="BF779" s="30"/>
      <c r="BG779" s="30"/>
      <c r="BH779" s="30"/>
      <c r="BI779" s="30"/>
      <c r="BJ779" s="30"/>
      <c r="BK779" s="30"/>
      <c r="BL779" s="30"/>
      <c r="BM779" s="30"/>
      <c r="BN779" s="30"/>
      <c r="BO779" s="259"/>
      <c r="BP779" s="259"/>
      <c r="BQ779" s="259"/>
      <c r="BR779" s="259"/>
      <c r="BS779" s="259"/>
      <c r="BT779" s="259"/>
      <c r="BU779" s="259"/>
      <c r="BV779" s="259"/>
      <c r="BW779" s="259"/>
      <c r="BX779" s="259"/>
      <c r="BY779" s="259"/>
      <c r="BZ779" s="260"/>
      <c r="CA779" s="259"/>
      <c r="CB779" s="259"/>
      <c r="CC779" s="259"/>
      <c r="CD779" s="259"/>
      <c r="CE779" s="259"/>
      <c r="CF779" s="259"/>
      <c r="CG779" s="259"/>
      <c r="CH779" s="259"/>
      <c r="CI779" s="259"/>
      <c r="CJ779" s="259"/>
      <c r="CK779" s="259"/>
      <c r="CL779" s="259"/>
      <c r="CM779" s="259"/>
      <c r="CN779" s="259"/>
      <c r="CO779" s="259"/>
      <c r="CP779" s="259"/>
      <c r="CQ779" s="259"/>
      <c r="CR779" s="259"/>
      <c r="CS779" s="259"/>
      <c r="CT779" s="259"/>
      <c r="CU779" s="259"/>
      <c r="CV779" s="259"/>
      <c r="CW779" s="259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  <c r="BI780" s="30"/>
      <c r="BJ780" s="30"/>
      <c r="BK780" s="30"/>
      <c r="BL780" s="30"/>
      <c r="BM780" s="30"/>
      <c r="BN780" s="30"/>
      <c r="BO780" s="259"/>
      <c r="BP780" s="259"/>
      <c r="BQ780" s="259"/>
      <c r="BR780" s="259"/>
      <c r="BS780" s="259"/>
      <c r="BT780" s="259"/>
      <c r="BU780" s="259"/>
      <c r="BV780" s="259"/>
      <c r="BW780" s="259"/>
      <c r="BX780" s="259"/>
      <c r="BY780" s="259"/>
      <c r="BZ780" s="260"/>
      <c r="CA780" s="259"/>
      <c r="CB780" s="259"/>
      <c r="CC780" s="259"/>
      <c r="CD780" s="259"/>
      <c r="CE780" s="259"/>
      <c r="CF780" s="259"/>
      <c r="CG780" s="259"/>
      <c r="CH780" s="259"/>
      <c r="CI780" s="259"/>
      <c r="CJ780" s="259"/>
      <c r="CK780" s="259"/>
      <c r="CL780" s="259"/>
      <c r="CM780" s="259"/>
      <c r="CN780" s="259"/>
      <c r="CO780" s="259"/>
      <c r="CP780" s="259"/>
      <c r="CQ780" s="259"/>
      <c r="CR780" s="259"/>
      <c r="CS780" s="259"/>
      <c r="CT780" s="259"/>
      <c r="CU780" s="259"/>
      <c r="CV780" s="259"/>
      <c r="CW780" s="259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  <c r="BF781" s="30"/>
      <c r="BG781" s="30"/>
      <c r="BH781" s="30"/>
      <c r="BI781" s="30"/>
      <c r="BJ781" s="30"/>
      <c r="BK781" s="30"/>
      <c r="BL781" s="30"/>
      <c r="BM781" s="30"/>
      <c r="BN781" s="30"/>
      <c r="BO781" s="259"/>
      <c r="BP781" s="259"/>
      <c r="BQ781" s="259"/>
      <c r="BR781" s="259"/>
      <c r="BS781" s="259"/>
      <c r="BT781" s="259"/>
      <c r="BU781" s="259"/>
      <c r="BV781" s="259"/>
      <c r="BW781" s="259"/>
      <c r="BX781" s="259"/>
      <c r="BY781" s="259"/>
      <c r="BZ781" s="260"/>
      <c r="CA781" s="259"/>
      <c r="CB781" s="259"/>
      <c r="CC781" s="259"/>
      <c r="CD781" s="259"/>
      <c r="CE781" s="259"/>
      <c r="CF781" s="259"/>
      <c r="CG781" s="259"/>
      <c r="CH781" s="259"/>
      <c r="CI781" s="259"/>
      <c r="CJ781" s="259"/>
      <c r="CK781" s="259"/>
      <c r="CL781" s="259"/>
      <c r="CM781" s="259"/>
      <c r="CN781" s="259"/>
      <c r="CO781" s="259"/>
      <c r="CP781" s="259"/>
      <c r="CQ781" s="259"/>
      <c r="CR781" s="259"/>
      <c r="CS781" s="259"/>
      <c r="CT781" s="259"/>
      <c r="CU781" s="259"/>
      <c r="CV781" s="259"/>
      <c r="CW781" s="259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  <c r="BI782" s="30"/>
      <c r="BJ782" s="30"/>
      <c r="BK782" s="30"/>
      <c r="BL782" s="30"/>
      <c r="BM782" s="30"/>
      <c r="BN782" s="30"/>
      <c r="BO782" s="259"/>
      <c r="BP782" s="259"/>
      <c r="BQ782" s="259"/>
      <c r="BR782" s="259"/>
      <c r="BS782" s="259"/>
      <c r="BT782" s="259"/>
      <c r="BU782" s="259"/>
      <c r="BV782" s="259"/>
      <c r="BW782" s="259"/>
      <c r="BX782" s="259"/>
      <c r="BY782" s="259"/>
      <c r="BZ782" s="260"/>
      <c r="CA782" s="259"/>
      <c r="CB782" s="259"/>
      <c r="CC782" s="259"/>
      <c r="CD782" s="259"/>
      <c r="CE782" s="259"/>
      <c r="CF782" s="259"/>
      <c r="CG782" s="259"/>
      <c r="CH782" s="259"/>
      <c r="CI782" s="259"/>
      <c r="CJ782" s="259"/>
      <c r="CK782" s="259"/>
      <c r="CL782" s="259"/>
      <c r="CM782" s="259"/>
      <c r="CN782" s="259"/>
      <c r="CO782" s="259"/>
      <c r="CP782" s="259"/>
      <c r="CQ782" s="259"/>
      <c r="CR782" s="259"/>
      <c r="CS782" s="259"/>
      <c r="CT782" s="259"/>
      <c r="CU782" s="259"/>
      <c r="CV782" s="259"/>
      <c r="CW782" s="259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30"/>
      <c r="BI783" s="30"/>
      <c r="BJ783" s="30"/>
      <c r="BK783" s="30"/>
      <c r="BL783" s="30"/>
      <c r="BM783" s="30"/>
      <c r="BN783" s="30"/>
      <c r="BO783" s="259"/>
      <c r="BP783" s="259"/>
      <c r="BQ783" s="259"/>
      <c r="BR783" s="259"/>
      <c r="BS783" s="259"/>
      <c r="BT783" s="259"/>
      <c r="BU783" s="259"/>
      <c r="BV783" s="259"/>
      <c r="BW783" s="259"/>
      <c r="BX783" s="259"/>
      <c r="BY783" s="259"/>
      <c r="BZ783" s="260"/>
      <c r="CA783" s="259"/>
      <c r="CB783" s="259"/>
      <c r="CC783" s="259"/>
      <c r="CD783" s="259"/>
      <c r="CE783" s="259"/>
      <c r="CF783" s="259"/>
      <c r="CG783" s="259"/>
      <c r="CH783" s="259"/>
      <c r="CI783" s="259"/>
      <c r="CJ783" s="259"/>
      <c r="CK783" s="259"/>
      <c r="CL783" s="259"/>
      <c r="CM783" s="259"/>
      <c r="CN783" s="259"/>
      <c r="CO783" s="259"/>
      <c r="CP783" s="259"/>
      <c r="CQ783" s="259"/>
      <c r="CR783" s="259"/>
      <c r="CS783" s="259"/>
      <c r="CT783" s="259"/>
      <c r="CU783" s="259"/>
      <c r="CV783" s="259"/>
      <c r="CW783" s="259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30"/>
      <c r="BI784" s="30"/>
      <c r="BJ784" s="30"/>
      <c r="BK784" s="30"/>
      <c r="BL784" s="30"/>
      <c r="BM784" s="30"/>
      <c r="BN784" s="30"/>
      <c r="BO784" s="259"/>
      <c r="BP784" s="259"/>
      <c r="BQ784" s="259"/>
      <c r="BR784" s="259"/>
      <c r="BS784" s="259"/>
      <c r="BT784" s="259"/>
      <c r="BU784" s="259"/>
      <c r="BV784" s="259"/>
      <c r="BW784" s="259"/>
      <c r="BX784" s="259"/>
      <c r="BY784" s="259"/>
      <c r="BZ784" s="260"/>
      <c r="CA784" s="259"/>
      <c r="CB784" s="259"/>
      <c r="CC784" s="259"/>
      <c r="CD784" s="259"/>
      <c r="CE784" s="259"/>
      <c r="CF784" s="259"/>
      <c r="CG784" s="259"/>
      <c r="CH784" s="259"/>
      <c r="CI784" s="259"/>
      <c r="CJ784" s="259"/>
      <c r="CK784" s="259"/>
      <c r="CL784" s="259"/>
      <c r="CM784" s="259"/>
      <c r="CN784" s="259"/>
      <c r="CO784" s="259"/>
      <c r="CP784" s="259"/>
      <c r="CQ784" s="259"/>
      <c r="CR784" s="259"/>
      <c r="CS784" s="259"/>
      <c r="CT784" s="259"/>
      <c r="CU784" s="259"/>
      <c r="CV784" s="259"/>
      <c r="CW784" s="259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  <c r="BF785" s="30"/>
      <c r="BG785" s="30"/>
      <c r="BH785" s="30"/>
      <c r="BI785" s="30"/>
      <c r="BJ785" s="30"/>
      <c r="BK785" s="30"/>
      <c r="BL785" s="30"/>
      <c r="BM785" s="30"/>
      <c r="BN785" s="30"/>
      <c r="BO785" s="259"/>
      <c r="BP785" s="259"/>
      <c r="BQ785" s="259"/>
      <c r="BR785" s="259"/>
      <c r="BS785" s="259"/>
      <c r="BT785" s="259"/>
      <c r="BU785" s="259"/>
      <c r="BV785" s="259"/>
      <c r="BW785" s="259"/>
      <c r="BX785" s="259"/>
      <c r="BY785" s="259"/>
      <c r="BZ785" s="260"/>
      <c r="CA785" s="259"/>
      <c r="CB785" s="259"/>
      <c r="CC785" s="259"/>
      <c r="CD785" s="259"/>
      <c r="CE785" s="259"/>
      <c r="CF785" s="259"/>
      <c r="CG785" s="259"/>
      <c r="CH785" s="259"/>
      <c r="CI785" s="259"/>
      <c r="CJ785" s="259"/>
      <c r="CK785" s="259"/>
      <c r="CL785" s="259"/>
      <c r="CM785" s="259"/>
      <c r="CN785" s="259"/>
      <c r="CO785" s="259"/>
      <c r="CP785" s="259"/>
      <c r="CQ785" s="259"/>
      <c r="CR785" s="259"/>
      <c r="CS785" s="259"/>
      <c r="CT785" s="259"/>
      <c r="CU785" s="259"/>
      <c r="CV785" s="259"/>
      <c r="CW785" s="259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  <c r="BF786" s="30"/>
      <c r="BG786" s="30"/>
      <c r="BH786" s="30"/>
      <c r="BI786" s="30"/>
      <c r="BJ786" s="30"/>
      <c r="BK786" s="30"/>
      <c r="BL786" s="30"/>
      <c r="BM786" s="30"/>
      <c r="BN786" s="30"/>
      <c r="BO786" s="259"/>
      <c r="BP786" s="259"/>
      <c r="BQ786" s="259"/>
      <c r="BR786" s="259"/>
      <c r="BS786" s="259"/>
      <c r="BT786" s="259"/>
      <c r="BU786" s="259"/>
      <c r="BV786" s="259"/>
      <c r="BW786" s="259"/>
      <c r="BX786" s="259"/>
      <c r="BY786" s="259"/>
      <c r="BZ786" s="260"/>
      <c r="CA786" s="259"/>
      <c r="CB786" s="259"/>
      <c r="CC786" s="259"/>
      <c r="CD786" s="259"/>
      <c r="CE786" s="259"/>
      <c r="CF786" s="259"/>
      <c r="CG786" s="259"/>
      <c r="CH786" s="259"/>
      <c r="CI786" s="259"/>
      <c r="CJ786" s="259"/>
      <c r="CK786" s="259"/>
      <c r="CL786" s="259"/>
      <c r="CM786" s="259"/>
      <c r="CN786" s="259"/>
      <c r="CO786" s="259"/>
      <c r="CP786" s="259"/>
      <c r="CQ786" s="259"/>
      <c r="CR786" s="259"/>
      <c r="CS786" s="259"/>
      <c r="CT786" s="259"/>
      <c r="CU786" s="259"/>
      <c r="CV786" s="259"/>
      <c r="CW786" s="259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  <c r="BF787" s="30"/>
      <c r="BG787" s="30"/>
      <c r="BH787" s="30"/>
      <c r="BI787" s="30"/>
      <c r="BJ787" s="30"/>
      <c r="BK787" s="30"/>
      <c r="BL787" s="30"/>
      <c r="BM787" s="30"/>
      <c r="BN787" s="30"/>
      <c r="BO787" s="259"/>
      <c r="BP787" s="259"/>
      <c r="BQ787" s="259"/>
      <c r="BR787" s="259"/>
      <c r="BS787" s="259"/>
      <c r="BT787" s="259"/>
      <c r="BU787" s="259"/>
      <c r="BV787" s="259"/>
      <c r="BW787" s="259"/>
      <c r="BX787" s="259"/>
      <c r="BY787" s="259"/>
      <c r="BZ787" s="260"/>
      <c r="CA787" s="259"/>
      <c r="CB787" s="259"/>
      <c r="CC787" s="259"/>
      <c r="CD787" s="259"/>
      <c r="CE787" s="259"/>
      <c r="CF787" s="259"/>
      <c r="CG787" s="259"/>
      <c r="CH787" s="259"/>
      <c r="CI787" s="259"/>
      <c r="CJ787" s="259"/>
      <c r="CK787" s="259"/>
      <c r="CL787" s="259"/>
      <c r="CM787" s="259"/>
      <c r="CN787" s="259"/>
      <c r="CO787" s="259"/>
      <c r="CP787" s="259"/>
      <c r="CQ787" s="259"/>
      <c r="CR787" s="259"/>
      <c r="CS787" s="259"/>
      <c r="CT787" s="259"/>
      <c r="CU787" s="259"/>
      <c r="CV787" s="259"/>
      <c r="CW787" s="259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  <c r="BF788" s="30"/>
      <c r="BG788" s="30"/>
      <c r="BH788" s="30"/>
      <c r="BI788" s="30"/>
      <c r="BJ788" s="30"/>
      <c r="BK788" s="30"/>
      <c r="BL788" s="30"/>
      <c r="BM788" s="30"/>
      <c r="BN788" s="30"/>
      <c r="BO788" s="259"/>
      <c r="BP788" s="259"/>
      <c r="BQ788" s="259"/>
      <c r="BR788" s="259"/>
      <c r="BS788" s="259"/>
      <c r="BT788" s="259"/>
      <c r="BU788" s="259"/>
      <c r="BV788" s="259"/>
      <c r="BW788" s="259"/>
      <c r="BX788" s="259"/>
      <c r="BY788" s="259"/>
      <c r="BZ788" s="260"/>
      <c r="CA788" s="259"/>
      <c r="CB788" s="259"/>
      <c r="CC788" s="259"/>
      <c r="CD788" s="259"/>
      <c r="CE788" s="259"/>
      <c r="CF788" s="259"/>
      <c r="CG788" s="259"/>
      <c r="CH788" s="259"/>
      <c r="CI788" s="259"/>
      <c r="CJ788" s="259"/>
      <c r="CK788" s="259"/>
      <c r="CL788" s="259"/>
      <c r="CM788" s="259"/>
      <c r="CN788" s="259"/>
      <c r="CO788" s="259"/>
      <c r="CP788" s="259"/>
      <c r="CQ788" s="259"/>
      <c r="CR788" s="259"/>
      <c r="CS788" s="259"/>
      <c r="CT788" s="259"/>
      <c r="CU788" s="259"/>
      <c r="CV788" s="259"/>
      <c r="CW788" s="259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30"/>
      <c r="BI789" s="30"/>
      <c r="BJ789" s="30"/>
      <c r="BK789" s="30"/>
      <c r="BL789" s="30"/>
      <c r="BM789" s="30"/>
      <c r="BN789" s="30"/>
      <c r="BO789" s="259"/>
      <c r="BP789" s="259"/>
      <c r="BQ789" s="259"/>
      <c r="BR789" s="259"/>
      <c r="BS789" s="259"/>
      <c r="BT789" s="259"/>
      <c r="BU789" s="259"/>
      <c r="BV789" s="259"/>
      <c r="BW789" s="259"/>
      <c r="BX789" s="259"/>
      <c r="BY789" s="259"/>
      <c r="BZ789" s="260"/>
      <c r="CA789" s="259"/>
      <c r="CB789" s="259"/>
      <c r="CC789" s="259"/>
      <c r="CD789" s="259"/>
      <c r="CE789" s="259"/>
      <c r="CF789" s="259"/>
      <c r="CG789" s="259"/>
      <c r="CH789" s="259"/>
      <c r="CI789" s="259"/>
      <c r="CJ789" s="259"/>
      <c r="CK789" s="259"/>
      <c r="CL789" s="259"/>
      <c r="CM789" s="259"/>
      <c r="CN789" s="259"/>
      <c r="CO789" s="259"/>
      <c r="CP789" s="259"/>
      <c r="CQ789" s="259"/>
      <c r="CR789" s="259"/>
      <c r="CS789" s="259"/>
      <c r="CT789" s="259"/>
      <c r="CU789" s="259"/>
      <c r="CV789" s="259"/>
      <c r="CW789" s="259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  <c r="BF790" s="30"/>
      <c r="BG790" s="30"/>
      <c r="BH790" s="30"/>
      <c r="BI790" s="30"/>
      <c r="BJ790" s="30"/>
      <c r="BK790" s="30"/>
      <c r="BL790" s="30"/>
      <c r="BM790" s="30"/>
      <c r="BN790" s="30"/>
      <c r="BO790" s="259"/>
      <c r="BP790" s="259"/>
      <c r="BQ790" s="259"/>
      <c r="BR790" s="259"/>
      <c r="BS790" s="259"/>
      <c r="BT790" s="259"/>
      <c r="BU790" s="259"/>
      <c r="BV790" s="259"/>
      <c r="BW790" s="259"/>
      <c r="BX790" s="259"/>
      <c r="BY790" s="259"/>
      <c r="BZ790" s="260"/>
      <c r="CA790" s="259"/>
      <c r="CB790" s="259"/>
      <c r="CC790" s="259"/>
      <c r="CD790" s="259"/>
      <c r="CE790" s="259"/>
      <c r="CF790" s="259"/>
      <c r="CG790" s="259"/>
      <c r="CH790" s="259"/>
      <c r="CI790" s="259"/>
      <c r="CJ790" s="259"/>
      <c r="CK790" s="259"/>
      <c r="CL790" s="259"/>
      <c r="CM790" s="259"/>
      <c r="CN790" s="259"/>
      <c r="CO790" s="259"/>
      <c r="CP790" s="259"/>
      <c r="CQ790" s="259"/>
      <c r="CR790" s="259"/>
      <c r="CS790" s="259"/>
      <c r="CT790" s="259"/>
      <c r="CU790" s="259"/>
      <c r="CV790" s="259"/>
      <c r="CW790" s="259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30"/>
      <c r="BI791" s="30"/>
      <c r="BJ791" s="30"/>
      <c r="BK791" s="30"/>
      <c r="BL791" s="30"/>
      <c r="BM791" s="30"/>
      <c r="BN791" s="30"/>
      <c r="BO791" s="259"/>
      <c r="BP791" s="259"/>
      <c r="BQ791" s="259"/>
      <c r="BR791" s="259"/>
      <c r="BS791" s="259"/>
      <c r="BT791" s="259"/>
      <c r="BU791" s="259"/>
      <c r="BV791" s="259"/>
      <c r="BW791" s="259"/>
      <c r="BX791" s="259"/>
      <c r="BY791" s="259"/>
      <c r="BZ791" s="260"/>
      <c r="CA791" s="259"/>
      <c r="CB791" s="259"/>
      <c r="CC791" s="259"/>
      <c r="CD791" s="259"/>
      <c r="CE791" s="259"/>
      <c r="CF791" s="259"/>
      <c r="CG791" s="259"/>
      <c r="CH791" s="259"/>
      <c r="CI791" s="259"/>
      <c r="CJ791" s="259"/>
      <c r="CK791" s="259"/>
      <c r="CL791" s="259"/>
      <c r="CM791" s="259"/>
      <c r="CN791" s="259"/>
      <c r="CO791" s="259"/>
      <c r="CP791" s="259"/>
      <c r="CQ791" s="259"/>
      <c r="CR791" s="259"/>
      <c r="CS791" s="259"/>
      <c r="CT791" s="259"/>
      <c r="CU791" s="259"/>
      <c r="CV791" s="259"/>
      <c r="CW791" s="259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  <c r="BF792" s="30"/>
      <c r="BG792" s="30"/>
      <c r="BH792" s="30"/>
      <c r="BI792" s="30"/>
      <c r="BJ792" s="30"/>
      <c r="BK792" s="30"/>
      <c r="BL792" s="30"/>
      <c r="BM792" s="30"/>
      <c r="BN792" s="30"/>
      <c r="BO792" s="259"/>
      <c r="BP792" s="259"/>
      <c r="BQ792" s="259"/>
      <c r="BR792" s="259"/>
      <c r="BS792" s="259"/>
      <c r="BT792" s="259"/>
      <c r="BU792" s="259"/>
      <c r="BV792" s="259"/>
      <c r="BW792" s="259"/>
      <c r="BX792" s="259"/>
      <c r="BY792" s="259"/>
      <c r="BZ792" s="260"/>
      <c r="CA792" s="259"/>
      <c r="CB792" s="259"/>
      <c r="CC792" s="259"/>
      <c r="CD792" s="259"/>
      <c r="CE792" s="259"/>
      <c r="CF792" s="259"/>
      <c r="CG792" s="259"/>
      <c r="CH792" s="259"/>
      <c r="CI792" s="259"/>
      <c r="CJ792" s="259"/>
      <c r="CK792" s="259"/>
      <c r="CL792" s="259"/>
      <c r="CM792" s="259"/>
      <c r="CN792" s="259"/>
      <c r="CO792" s="259"/>
      <c r="CP792" s="259"/>
      <c r="CQ792" s="259"/>
      <c r="CR792" s="259"/>
      <c r="CS792" s="259"/>
      <c r="CT792" s="259"/>
      <c r="CU792" s="259"/>
      <c r="CV792" s="259"/>
      <c r="CW792" s="259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  <c r="BF793" s="30"/>
      <c r="BG793" s="30"/>
      <c r="BH793" s="30"/>
      <c r="BI793" s="30"/>
      <c r="BJ793" s="30"/>
      <c r="BK793" s="30"/>
      <c r="BL793" s="30"/>
      <c r="BM793" s="30"/>
      <c r="BN793" s="30"/>
      <c r="BO793" s="259"/>
      <c r="BP793" s="259"/>
      <c r="BQ793" s="259"/>
      <c r="BR793" s="259"/>
      <c r="BS793" s="259"/>
      <c r="BT793" s="259"/>
      <c r="BU793" s="259"/>
      <c r="BV793" s="259"/>
      <c r="BW793" s="259"/>
      <c r="BX793" s="259"/>
      <c r="BY793" s="259"/>
      <c r="BZ793" s="260"/>
      <c r="CA793" s="259"/>
      <c r="CB793" s="259"/>
      <c r="CC793" s="259"/>
      <c r="CD793" s="259"/>
      <c r="CE793" s="259"/>
      <c r="CF793" s="259"/>
      <c r="CG793" s="259"/>
      <c r="CH793" s="259"/>
      <c r="CI793" s="259"/>
      <c r="CJ793" s="259"/>
      <c r="CK793" s="259"/>
      <c r="CL793" s="259"/>
      <c r="CM793" s="259"/>
      <c r="CN793" s="259"/>
      <c r="CO793" s="259"/>
      <c r="CP793" s="259"/>
      <c r="CQ793" s="259"/>
      <c r="CR793" s="259"/>
      <c r="CS793" s="259"/>
      <c r="CT793" s="259"/>
      <c r="CU793" s="259"/>
      <c r="CV793" s="259"/>
      <c r="CW793" s="259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  <c r="BF794" s="30"/>
      <c r="BG794" s="30"/>
      <c r="BH794" s="30"/>
      <c r="BI794" s="30"/>
      <c r="BJ794" s="30"/>
      <c r="BK794" s="30"/>
      <c r="BL794" s="30"/>
      <c r="BM794" s="30"/>
      <c r="BN794" s="30"/>
      <c r="BO794" s="259"/>
      <c r="BP794" s="259"/>
      <c r="BQ794" s="259"/>
      <c r="BR794" s="259"/>
      <c r="BS794" s="259"/>
      <c r="BT794" s="259"/>
      <c r="BU794" s="259"/>
      <c r="BV794" s="259"/>
      <c r="BW794" s="259"/>
      <c r="BX794" s="259"/>
      <c r="BY794" s="259"/>
      <c r="BZ794" s="260"/>
      <c r="CA794" s="259"/>
      <c r="CB794" s="259"/>
      <c r="CC794" s="259"/>
      <c r="CD794" s="259"/>
      <c r="CE794" s="259"/>
      <c r="CF794" s="259"/>
      <c r="CG794" s="259"/>
      <c r="CH794" s="259"/>
      <c r="CI794" s="259"/>
      <c r="CJ794" s="259"/>
      <c r="CK794" s="259"/>
      <c r="CL794" s="259"/>
      <c r="CM794" s="259"/>
      <c r="CN794" s="259"/>
      <c r="CO794" s="259"/>
      <c r="CP794" s="259"/>
      <c r="CQ794" s="259"/>
      <c r="CR794" s="259"/>
      <c r="CS794" s="259"/>
      <c r="CT794" s="259"/>
      <c r="CU794" s="259"/>
      <c r="CV794" s="259"/>
      <c r="CW794" s="259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  <c r="BF795" s="30"/>
      <c r="BG795" s="30"/>
      <c r="BH795" s="30"/>
      <c r="BI795" s="30"/>
      <c r="BJ795" s="30"/>
      <c r="BK795" s="30"/>
      <c r="BL795" s="30"/>
      <c r="BM795" s="30"/>
      <c r="BN795" s="30"/>
      <c r="BO795" s="259"/>
      <c r="BP795" s="259"/>
      <c r="BQ795" s="259"/>
      <c r="BR795" s="259"/>
      <c r="BS795" s="259"/>
      <c r="BT795" s="259"/>
      <c r="BU795" s="259"/>
      <c r="BV795" s="259"/>
      <c r="BW795" s="259"/>
      <c r="BX795" s="259"/>
      <c r="BY795" s="259"/>
      <c r="BZ795" s="260"/>
      <c r="CA795" s="259"/>
      <c r="CB795" s="259"/>
      <c r="CC795" s="259"/>
      <c r="CD795" s="259"/>
      <c r="CE795" s="259"/>
      <c r="CF795" s="259"/>
      <c r="CG795" s="259"/>
      <c r="CH795" s="259"/>
      <c r="CI795" s="259"/>
      <c r="CJ795" s="259"/>
      <c r="CK795" s="259"/>
      <c r="CL795" s="259"/>
      <c r="CM795" s="259"/>
      <c r="CN795" s="259"/>
      <c r="CO795" s="259"/>
      <c r="CP795" s="259"/>
      <c r="CQ795" s="259"/>
      <c r="CR795" s="259"/>
      <c r="CS795" s="259"/>
      <c r="CT795" s="259"/>
      <c r="CU795" s="259"/>
      <c r="CV795" s="259"/>
      <c r="CW795" s="259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  <c r="BF796" s="30"/>
      <c r="BG796" s="30"/>
      <c r="BH796" s="30"/>
      <c r="BI796" s="30"/>
      <c r="BJ796" s="30"/>
      <c r="BK796" s="30"/>
      <c r="BL796" s="30"/>
      <c r="BM796" s="30"/>
      <c r="BN796" s="30"/>
      <c r="BO796" s="259"/>
      <c r="BP796" s="259"/>
      <c r="BQ796" s="259"/>
      <c r="BR796" s="259"/>
      <c r="BS796" s="259"/>
      <c r="BT796" s="259"/>
      <c r="BU796" s="259"/>
      <c r="BV796" s="259"/>
      <c r="BW796" s="259"/>
      <c r="BX796" s="259"/>
      <c r="BY796" s="259"/>
      <c r="BZ796" s="260"/>
      <c r="CA796" s="259"/>
      <c r="CB796" s="259"/>
      <c r="CC796" s="259"/>
      <c r="CD796" s="259"/>
      <c r="CE796" s="259"/>
      <c r="CF796" s="259"/>
      <c r="CG796" s="259"/>
      <c r="CH796" s="259"/>
      <c r="CI796" s="259"/>
      <c r="CJ796" s="259"/>
      <c r="CK796" s="259"/>
      <c r="CL796" s="259"/>
      <c r="CM796" s="259"/>
      <c r="CN796" s="259"/>
      <c r="CO796" s="259"/>
      <c r="CP796" s="259"/>
      <c r="CQ796" s="259"/>
      <c r="CR796" s="259"/>
      <c r="CS796" s="259"/>
      <c r="CT796" s="259"/>
      <c r="CU796" s="259"/>
      <c r="CV796" s="259"/>
      <c r="CW796" s="259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30"/>
      <c r="BI797" s="30"/>
      <c r="BJ797" s="30"/>
      <c r="BK797" s="30"/>
      <c r="BL797" s="30"/>
      <c r="BM797" s="30"/>
      <c r="BN797" s="30"/>
      <c r="BO797" s="259"/>
      <c r="BP797" s="259"/>
      <c r="BQ797" s="259"/>
      <c r="BR797" s="259"/>
      <c r="BS797" s="259"/>
      <c r="BT797" s="259"/>
      <c r="BU797" s="259"/>
      <c r="BV797" s="259"/>
      <c r="BW797" s="259"/>
      <c r="BX797" s="259"/>
      <c r="BY797" s="259"/>
      <c r="BZ797" s="260"/>
      <c r="CA797" s="259"/>
      <c r="CB797" s="259"/>
      <c r="CC797" s="259"/>
      <c r="CD797" s="259"/>
      <c r="CE797" s="259"/>
      <c r="CF797" s="259"/>
      <c r="CG797" s="259"/>
      <c r="CH797" s="259"/>
      <c r="CI797" s="259"/>
      <c r="CJ797" s="259"/>
      <c r="CK797" s="259"/>
      <c r="CL797" s="259"/>
      <c r="CM797" s="259"/>
      <c r="CN797" s="259"/>
      <c r="CO797" s="259"/>
      <c r="CP797" s="259"/>
      <c r="CQ797" s="259"/>
      <c r="CR797" s="259"/>
      <c r="CS797" s="259"/>
      <c r="CT797" s="259"/>
      <c r="CU797" s="259"/>
      <c r="CV797" s="259"/>
      <c r="CW797" s="259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  <c r="BF798" s="30"/>
      <c r="BG798" s="30"/>
      <c r="BH798" s="30"/>
      <c r="BI798" s="30"/>
      <c r="BJ798" s="30"/>
      <c r="BK798" s="30"/>
      <c r="BL798" s="30"/>
      <c r="BM798" s="30"/>
      <c r="BN798" s="30"/>
      <c r="BO798" s="259"/>
      <c r="BP798" s="259"/>
      <c r="BQ798" s="259"/>
      <c r="BR798" s="259"/>
      <c r="BS798" s="259"/>
      <c r="BT798" s="259"/>
      <c r="BU798" s="259"/>
      <c r="BV798" s="259"/>
      <c r="BW798" s="259"/>
      <c r="BX798" s="259"/>
      <c r="BY798" s="259"/>
      <c r="BZ798" s="260"/>
      <c r="CA798" s="259"/>
      <c r="CB798" s="259"/>
      <c r="CC798" s="259"/>
      <c r="CD798" s="259"/>
      <c r="CE798" s="259"/>
      <c r="CF798" s="259"/>
      <c r="CG798" s="259"/>
      <c r="CH798" s="259"/>
      <c r="CI798" s="259"/>
      <c r="CJ798" s="259"/>
      <c r="CK798" s="259"/>
      <c r="CL798" s="259"/>
      <c r="CM798" s="259"/>
      <c r="CN798" s="259"/>
      <c r="CO798" s="259"/>
      <c r="CP798" s="259"/>
      <c r="CQ798" s="259"/>
      <c r="CR798" s="259"/>
      <c r="CS798" s="259"/>
      <c r="CT798" s="259"/>
      <c r="CU798" s="259"/>
      <c r="CV798" s="259"/>
      <c r="CW798" s="259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30"/>
      <c r="BI799" s="30"/>
      <c r="BJ799" s="30"/>
      <c r="BK799" s="30"/>
      <c r="BL799" s="30"/>
      <c r="BM799" s="30"/>
      <c r="BN799" s="30"/>
      <c r="BO799" s="259"/>
      <c r="BP799" s="259"/>
      <c r="BQ799" s="259"/>
      <c r="BR799" s="259"/>
      <c r="BS799" s="259"/>
      <c r="BT799" s="259"/>
      <c r="BU799" s="259"/>
      <c r="BV799" s="259"/>
      <c r="BW799" s="259"/>
      <c r="BX799" s="259"/>
      <c r="BY799" s="259"/>
      <c r="BZ799" s="260"/>
      <c r="CA799" s="259"/>
      <c r="CB799" s="259"/>
      <c r="CC799" s="259"/>
      <c r="CD799" s="259"/>
      <c r="CE799" s="259"/>
      <c r="CF799" s="259"/>
      <c r="CG799" s="259"/>
      <c r="CH799" s="259"/>
      <c r="CI799" s="259"/>
      <c r="CJ799" s="259"/>
      <c r="CK799" s="259"/>
      <c r="CL799" s="259"/>
      <c r="CM799" s="259"/>
      <c r="CN799" s="259"/>
      <c r="CO799" s="259"/>
      <c r="CP799" s="259"/>
      <c r="CQ799" s="259"/>
      <c r="CR799" s="259"/>
      <c r="CS799" s="259"/>
      <c r="CT799" s="259"/>
      <c r="CU799" s="259"/>
      <c r="CV799" s="259"/>
      <c r="CW799" s="259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  <c r="BF800" s="30"/>
      <c r="BG800" s="30"/>
      <c r="BH800" s="30"/>
      <c r="BI800" s="30"/>
      <c r="BJ800" s="30"/>
      <c r="BK800" s="30"/>
      <c r="BL800" s="30"/>
      <c r="BM800" s="30"/>
      <c r="BN800" s="30"/>
      <c r="BO800" s="259"/>
      <c r="BP800" s="259"/>
      <c r="BQ800" s="259"/>
      <c r="BR800" s="259"/>
      <c r="BS800" s="259"/>
      <c r="BT800" s="259"/>
      <c r="BU800" s="259"/>
      <c r="BV800" s="259"/>
      <c r="BW800" s="259"/>
      <c r="BX800" s="259"/>
      <c r="BY800" s="259"/>
      <c r="BZ800" s="260"/>
      <c r="CA800" s="259"/>
      <c r="CB800" s="259"/>
      <c r="CC800" s="259"/>
      <c r="CD800" s="259"/>
      <c r="CE800" s="259"/>
      <c r="CF800" s="259"/>
      <c r="CG800" s="259"/>
      <c r="CH800" s="259"/>
      <c r="CI800" s="259"/>
      <c r="CJ800" s="259"/>
      <c r="CK800" s="259"/>
      <c r="CL800" s="259"/>
      <c r="CM800" s="259"/>
      <c r="CN800" s="259"/>
      <c r="CO800" s="259"/>
      <c r="CP800" s="259"/>
      <c r="CQ800" s="259"/>
      <c r="CR800" s="259"/>
      <c r="CS800" s="259"/>
      <c r="CT800" s="259"/>
      <c r="CU800" s="259"/>
      <c r="CV800" s="259"/>
      <c r="CW800" s="259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  <c r="BF801" s="30"/>
      <c r="BG801" s="30"/>
      <c r="BH801" s="30"/>
      <c r="BI801" s="30"/>
      <c r="BJ801" s="30"/>
      <c r="BK801" s="30"/>
      <c r="BL801" s="30"/>
      <c r="BM801" s="30"/>
      <c r="BN801" s="30"/>
      <c r="BO801" s="259"/>
      <c r="BP801" s="259"/>
      <c r="BQ801" s="259"/>
      <c r="BR801" s="259"/>
      <c r="BS801" s="259"/>
      <c r="BT801" s="259"/>
      <c r="BU801" s="259"/>
      <c r="BV801" s="259"/>
      <c r="BW801" s="259"/>
      <c r="BX801" s="259"/>
      <c r="BY801" s="259"/>
      <c r="BZ801" s="260"/>
      <c r="CA801" s="259"/>
      <c r="CB801" s="259"/>
      <c r="CC801" s="259"/>
      <c r="CD801" s="259"/>
      <c r="CE801" s="259"/>
      <c r="CF801" s="259"/>
      <c r="CG801" s="259"/>
      <c r="CH801" s="259"/>
      <c r="CI801" s="259"/>
      <c r="CJ801" s="259"/>
      <c r="CK801" s="259"/>
      <c r="CL801" s="259"/>
      <c r="CM801" s="259"/>
      <c r="CN801" s="259"/>
      <c r="CO801" s="259"/>
      <c r="CP801" s="259"/>
      <c r="CQ801" s="259"/>
      <c r="CR801" s="259"/>
      <c r="CS801" s="259"/>
      <c r="CT801" s="259"/>
      <c r="CU801" s="259"/>
      <c r="CV801" s="259"/>
      <c r="CW801" s="259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  <c r="BF802" s="30"/>
      <c r="BG802" s="30"/>
      <c r="BH802" s="30"/>
      <c r="BI802" s="30"/>
      <c r="BJ802" s="30"/>
      <c r="BK802" s="30"/>
      <c r="BL802" s="30"/>
      <c r="BM802" s="30"/>
      <c r="BN802" s="30"/>
      <c r="BO802" s="259"/>
      <c r="BP802" s="259"/>
      <c r="BQ802" s="259"/>
      <c r="BR802" s="259"/>
      <c r="BS802" s="259"/>
      <c r="BT802" s="259"/>
      <c r="BU802" s="259"/>
      <c r="BV802" s="259"/>
      <c r="BW802" s="259"/>
      <c r="BX802" s="259"/>
      <c r="BY802" s="259"/>
      <c r="BZ802" s="260"/>
      <c r="CA802" s="259"/>
      <c r="CB802" s="259"/>
      <c r="CC802" s="259"/>
      <c r="CD802" s="259"/>
      <c r="CE802" s="259"/>
      <c r="CF802" s="259"/>
      <c r="CG802" s="259"/>
      <c r="CH802" s="259"/>
      <c r="CI802" s="259"/>
      <c r="CJ802" s="259"/>
      <c r="CK802" s="259"/>
      <c r="CL802" s="259"/>
      <c r="CM802" s="259"/>
      <c r="CN802" s="259"/>
      <c r="CO802" s="259"/>
      <c r="CP802" s="259"/>
      <c r="CQ802" s="259"/>
      <c r="CR802" s="259"/>
      <c r="CS802" s="259"/>
      <c r="CT802" s="259"/>
      <c r="CU802" s="259"/>
      <c r="CV802" s="259"/>
      <c r="CW802" s="259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  <c r="BF803" s="30"/>
      <c r="BG803" s="30"/>
      <c r="BH803" s="30"/>
      <c r="BI803" s="30"/>
      <c r="BJ803" s="30"/>
      <c r="BK803" s="30"/>
      <c r="BL803" s="30"/>
      <c r="BM803" s="30"/>
      <c r="BN803" s="30"/>
      <c r="BO803" s="259"/>
      <c r="BP803" s="259"/>
      <c r="BQ803" s="259"/>
      <c r="BR803" s="259"/>
      <c r="BS803" s="259"/>
      <c r="BT803" s="259"/>
      <c r="BU803" s="259"/>
      <c r="BV803" s="259"/>
      <c r="BW803" s="259"/>
      <c r="BX803" s="259"/>
      <c r="BY803" s="259"/>
      <c r="BZ803" s="260"/>
      <c r="CA803" s="259"/>
      <c r="CB803" s="259"/>
      <c r="CC803" s="259"/>
      <c r="CD803" s="259"/>
      <c r="CE803" s="259"/>
      <c r="CF803" s="259"/>
      <c r="CG803" s="259"/>
      <c r="CH803" s="259"/>
      <c r="CI803" s="259"/>
      <c r="CJ803" s="259"/>
      <c r="CK803" s="259"/>
      <c r="CL803" s="259"/>
      <c r="CM803" s="259"/>
      <c r="CN803" s="259"/>
      <c r="CO803" s="259"/>
      <c r="CP803" s="259"/>
      <c r="CQ803" s="259"/>
      <c r="CR803" s="259"/>
      <c r="CS803" s="259"/>
      <c r="CT803" s="259"/>
      <c r="CU803" s="259"/>
      <c r="CV803" s="259"/>
      <c r="CW803" s="259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  <c r="BF804" s="30"/>
      <c r="BG804" s="30"/>
      <c r="BH804" s="30"/>
      <c r="BI804" s="30"/>
      <c r="BJ804" s="30"/>
      <c r="BK804" s="30"/>
      <c r="BL804" s="30"/>
      <c r="BM804" s="30"/>
      <c r="BN804" s="30"/>
      <c r="BO804" s="259"/>
      <c r="BP804" s="259"/>
      <c r="BQ804" s="259"/>
      <c r="BR804" s="259"/>
      <c r="BS804" s="259"/>
      <c r="BT804" s="259"/>
      <c r="BU804" s="259"/>
      <c r="BV804" s="259"/>
      <c r="BW804" s="259"/>
      <c r="BX804" s="259"/>
      <c r="BY804" s="259"/>
      <c r="BZ804" s="260"/>
      <c r="CA804" s="259"/>
      <c r="CB804" s="259"/>
      <c r="CC804" s="259"/>
      <c r="CD804" s="259"/>
      <c r="CE804" s="259"/>
      <c r="CF804" s="259"/>
      <c r="CG804" s="259"/>
      <c r="CH804" s="259"/>
      <c r="CI804" s="259"/>
      <c r="CJ804" s="259"/>
      <c r="CK804" s="259"/>
      <c r="CL804" s="259"/>
      <c r="CM804" s="259"/>
      <c r="CN804" s="259"/>
      <c r="CO804" s="259"/>
      <c r="CP804" s="259"/>
      <c r="CQ804" s="259"/>
      <c r="CR804" s="259"/>
      <c r="CS804" s="259"/>
      <c r="CT804" s="259"/>
      <c r="CU804" s="259"/>
      <c r="CV804" s="259"/>
      <c r="CW804" s="259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  <c r="BF805" s="30"/>
      <c r="BG805" s="30"/>
      <c r="BH805" s="30"/>
      <c r="BI805" s="30"/>
      <c r="BJ805" s="30"/>
      <c r="BK805" s="30"/>
      <c r="BL805" s="30"/>
      <c r="BM805" s="30"/>
      <c r="BN805" s="30"/>
      <c r="BO805" s="259"/>
      <c r="BP805" s="259"/>
      <c r="BQ805" s="259"/>
      <c r="BR805" s="259"/>
      <c r="BS805" s="259"/>
      <c r="BT805" s="259"/>
      <c r="BU805" s="259"/>
      <c r="BV805" s="259"/>
      <c r="BW805" s="259"/>
      <c r="BX805" s="259"/>
      <c r="BY805" s="259"/>
      <c r="BZ805" s="260"/>
      <c r="CA805" s="259"/>
      <c r="CB805" s="259"/>
      <c r="CC805" s="259"/>
      <c r="CD805" s="259"/>
      <c r="CE805" s="259"/>
      <c r="CF805" s="259"/>
      <c r="CG805" s="259"/>
      <c r="CH805" s="259"/>
      <c r="CI805" s="259"/>
      <c r="CJ805" s="259"/>
      <c r="CK805" s="259"/>
      <c r="CL805" s="259"/>
      <c r="CM805" s="259"/>
      <c r="CN805" s="259"/>
      <c r="CO805" s="259"/>
      <c r="CP805" s="259"/>
      <c r="CQ805" s="259"/>
      <c r="CR805" s="259"/>
      <c r="CS805" s="259"/>
      <c r="CT805" s="259"/>
      <c r="CU805" s="259"/>
      <c r="CV805" s="259"/>
      <c r="CW805" s="259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  <c r="BF806" s="30"/>
      <c r="BG806" s="30"/>
      <c r="BH806" s="30"/>
      <c r="BI806" s="30"/>
      <c r="BJ806" s="30"/>
      <c r="BK806" s="30"/>
      <c r="BL806" s="30"/>
      <c r="BM806" s="30"/>
      <c r="BN806" s="30"/>
      <c r="BO806" s="259"/>
      <c r="BP806" s="259"/>
      <c r="BQ806" s="259"/>
      <c r="BR806" s="259"/>
      <c r="BS806" s="259"/>
      <c r="BT806" s="259"/>
      <c r="BU806" s="259"/>
      <c r="BV806" s="259"/>
      <c r="BW806" s="259"/>
      <c r="BX806" s="259"/>
      <c r="BY806" s="259"/>
      <c r="BZ806" s="260"/>
      <c r="CA806" s="259"/>
      <c r="CB806" s="259"/>
      <c r="CC806" s="259"/>
      <c r="CD806" s="259"/>
      <c r="CE806" s="259"/>
      <c r="CF806" s="259"/>
      <c r="CG806" s="259"/>
      <c r="CH806" s="259"/>
      <c r="CI806" s="259"/>
      <c r="CJ806" s="259"/>
      <c r="CK806" s="259"/>
      <c r="CL806" s="259"/>
      <c r="CM806" s="259"/>
      <c r="CN806" s="259"/>
      <c r="CO806" s="259"/>
      <c r="CP806" s="259"/>
      <c r="CQ806" s="259"/>
      <c r="CR806" s="259"/>
      <c r="CS806" s="259"/>
      <c r="CT806" s="259"/>
      <c r="CU806" s="259"/>
      <c r="CV806" s="259"/>
      <c r="CW806" s="259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  <c r="BF807" s="30"/>
      <c r="BG807" s="30"/>
      <c r="BH807" s="30"/>
      <c r="BI807" s="30"/>
      <c r="BJ807" s="30"/>
      <c r="BK807" s="30"/>
      <c r="BL807" s="30"/>
      <c r="BM807" s="30"/>
      <c r="BN807" s="30"/>
      <c r="BO807" s="259"/>
      <c r="BP807" s="259"/>
      <c r="BQ807" s="259"/>
      <c r="BR807" s="259"/>
      <c r="BS807" s="259"/>
      <c r="BT807" s="259"/>
      <c r="BU807" s="259"/>
      <c r="BV807" s="259"/>
      <c r="BW807" s="259"/>
      <c r="BX807" s="259"/>
      <c r="BY807" s="259"/>
      <c r="BZ807" s="260"/>
      <c r="CA807" s="259"/>
      <c r="CB807" s="259"/>
      <c r="CC807" s="259"/>
      <c r="CD807" s="259"/>
      <c r="CE807" s="259"/>
      <c r="CF807" s="259"/>
      <c r="CG807" s="259"/>
      <c r="CH807" s="259"/>
      <c r="CI807" s="259"/>
      <c r="CJ807" s="259"/>
      <c r="CK807" s="259"/>
      <c r="CL807" s="259"/>
      <c r="CM807" s="259"/>
      <c r="CN807" s="259"/>
      <c r="CO807" s="259"/>
      <c r="CP807" s="259"/>
      <c r="CQ807" s="259"/>
      <c r="CR807" s="259"/>
      <c r="CS807" s="259"/>
      <c r="CT807" s="259"/>
      <c r="CU807" s="259"/>
      <c r="CV807" s="259"/>
      <c r="CW807" s="259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  <c r="BF808" s="30"/>
      <c r="BG808" s="30"/>
      <c r="BH808" s="30"/>
      <c r="BI808" s="30"/>
      <c r="BJ808" s="30"/>
      <c r="BK808" s="30"/>
      <c r="BL808" s="30"/>
      <c r="BM808" s="30"/>
      <c r="BN808" s="30"/>
      <c r="BO808" s="259"/>
      <c r="BP808" s="259"/>
      <c r="BQ808" s="259"/>
      <c r="BR808" s="259"/>
      <c r="BS808" s="259"/>
      <c r="BT808" s="259"/>
      <c r="BU808" s="259"/>
      <c r="BV808" s="259"/>
      <c r="BW808" s="259"/>
      <c r="BX808" s="259"/>
      <c r="BY808" s="259"/>
      <c r="BZ808" s="260"/>
      <c r="CA808" s="259"/>
      <c r="CB808" s="259"/>
      <c r="CC808" s="259"/>
      <c r="CD808" s="259"/>
      <c r="CE808" s="259"/>
      <c r="CF808" s="259"/>
      <c r="CG808" s="259"/>
      <c r="CH808" s="259"/>
      <c r="CI808" s="259"/>
      <c r="CJ808" s="259"/>
      <c r="CK808" s="259"/>
      <c r="CL808" s="259"/>
      <c r="CM808" s="259"/>
      <c r="CN808" s="259"/>
      <c r="CO808" s="259"/>
      <c r="CP808" s="259"/>
      <c r="CQ808" s="259"/>
      <c r="CR808" s="259"/>
      <c r="CS808" s="259"/>
      <c r="CT808" s="259"/>
      <c r="CU808" s="259"/>
      <c r="CV808" s="259"/>
      <c r="CW808" s="259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  <c r="BF809" s="30"/>
      <c r="BG809" s="30"/>
      <c r="BH809" s="30"/>
      <c r="BI809" s="30"/>
      <c r="BJ809" s="30"/>
      <c r="BK809" s="30"/>
      <c r="BL809" s="30"/>
      <c r="BM809" s="30"/>
      <c r="BN809" s="30"/>
      <c r="BO809" s="259"/>
      <c r="BP809" s="259"/>
      <c r="BQ809" s="259"/>
      <c r="BR809" s="259"/>
      <c r="BS809" s="259"/>
      <c r="BT809" s="259"/>
      <c r="BU809" s="259"/>
      <c r="BV809" s="259"/>
      <c r="BW809" s="259"/>
      <c r="BX809" s="259"/>
      <c r="BY809" s="259"/>
      <c r="BZ809" s="260"/>
      <c r="CA809" s="259"/>
      <c r="CB809" s="259"/>
      <c r="CC809" s="259"/>
      <c r="CD809" s="259"/>
      <c r="CE809" s="259"/>
      <c r="CF809" s="259"/>
      <c r="CG809" s="259"/>
      <c r="CH809" s="259"/>
      <c r="CI809" s="259"/>
      <c r="CJ809" s="259"/>
      <c r="CK809" s="259"/>
      <c r="CL809" s="259"/>
      <c r="CM809" s="259"/>
      <c r="CN809" s="259"/>
      <c r="CO809" s="259"/>
      <c r="CP809" s="259"/>
      <c r="CQ809" s="259"/>
      <c r="CR809" s="259"/>
      <c r="CS809" s="259"/>
      <c r="CT809" s="259"/>
      <c r="CU809" s="259"/>
      <c r="CV809" s="259"/>
      <c r="CW809" s="259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  <c r="BF810" s="30"/>
      <c r="BG810" s="30"/>
      <c r="BH810" s="30"/>
      <c r="BI810" s="30"/>
      <c r="BJ810" s="30"/>
      <c r="BK810" s="30"/>
      <c r="BL810" s="30"/>
      <c r="BM810" s="30"/>
      <c r="BN810" s="30"/>
      <c r="BO810" s="259"/>
      <c r="BP810" s="259"/>
      <c r="BQ810" s="259"/>
      <c r="BR810" s="259"/>
      <c r="BS810" s="259"/>
      <c r="BT810" s="259"/>
      <c r="BU810" s="259"/>
      <c r="BV810" s="259"/>
      <c r="BW810" s="259"/>
      <c r="BX810" s="259"/>
      <c r="BY810" s="259"/>
      <c r="BZ810" s="260"/>
      <c r="CA810" s="259"/>
      <c r="CB810" s="259"/>
      <c r="CC810" s="259"/>
      <c r="CD810" s="259"/>
      <c r="CE810" s="259"/>
      <c r="CF810" s="259"/>
      <c r="CG810" s="259"/>
      <c r="CH810" s="259"/>
      <c r="CI810" s="259"/>
      <c r="CJ810" s="259"/>
      <c r="CK810" s="259"/>
      <c r="CL810" s="259"/>
      <c r="CM810" s="259"/>
      <c r="CN810" s="259"/>
      <c r="CO810" s="259"/>
      <c r="CP810" s="259"/>
      <c r="CQ810" s="259"/>
      <c r="CR810" s="259"/>
      <c r="CS810" s="259"/>
      <c r="CT810" s="259"/>
      <c r="CU810" s="259"/>
      <c r="CV810" s="259"/>
      <c r="CW810" s="259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  <c r="BF811" s="30"/>
      <c r="BG811" s="30"/>
      <c r="BH811" s="30"/>
      <c r="BI811" s="30"/>
      <c r="BJ811" s="30"/>
      <c r="BK811" s="30"/>
      <c r="BL811" s="30"/>
      <c r="BM811" s="30"/>
      <c r="BN811" s="30"/>
      <c r="BO811" s="259"/>
      <c r="BP811" s="259"/>
      <c r="BQ811" s="259"/>
      <c r="BR811" s="259"/>
      <c r="BS811" s="259"/>
      <c r="BT811" s="259"/>
      <c r="BU811" s="259"/>
      <c r="BV811" s="259"/>
      <c r="BW811" s="259"/>
      <c r="BX811" s="259"/>
      <c r="BY811" s="259"/>
      <c r="BZ811" s="260"/>
      <c r="CA811" s="259"/>
      <c r="CB811" s="259"/>
      <c r="CC811" s="259"/>
      <c r="CD811" s="259"/>
      <c r="CE811" s="259"/>
      <c r="CF811" s="259"/>
      <c r="CG811" s="259"/>
      <c r="CH811" s="259"/>
      <c r="CI811" s="259"/>
      <c r="CJ811" s="259"/>
      <c r="CK811" s="259"/>
      <c r="CL811" s="259"/>
      <c r="CM811" s="259"/>
      <c r="CN811" s="259"/>
      <c r="CO811" s="259"/>
      <c r="CP811" s="259"/>
      <c r="CQ811" s="259"/>
      <c r="CR811" s="259"/>
      <c r="CS811" s="259"/>
      <c r="CT811" s="259"/>
      <c r="CU811" s="259"/>
      <c r="CV811" s="259"/>
      <c r="CW811" s="259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  <c r="BF812" s="30"/>
      <c r="BG812" s="30"/>
      <c r="BH812" s="30"/>
      <c r="BI812" s="30"/>
      <c r="BJ812" s="30"/>
      <c r="BK812" s="30"/>
      <c r="BL812" s="30"/>
      <c r="BM812" s="30"/>
      <c r="BN812" s="30"/>
      <c r="BO812" s="259"/>
      <c r="BP812" s="259"/>
      <c r="BQ812" s="259"/>
      <c r="BR812" s="259"/>
      <c r="BS812" s="259"/>
      <c r="BT812" s="259"/>
      <c r="BU812" s="259"/>
      <c r="BV812" s="259"/>
      <c r="BW812" s="259"/>
      <c r="BX812" s="259"/>
      <c r="BY812" s="259"/>
      <c r="BZ812" s="260"/>
      <c r="CA812" s="259"/>
      <c r="CB812" s="259"/>
      <c r="CC812" s="259"/>
      <c r="CD812" s="259"/>
      <c r="CE812" s="259"/>
      <c r="CF812" s="259"/>
      <c r="CG812" s="259"/>
      <c r="CH812" s="259"/>
      <c r="CI812" s="259"/>
      <c r="CJ812" s="259"/>
      <c r="CK812" s="259"/>
      <c r="CL812" s="259"/>
      <c r="CM812" s="259"/>
      <c r="CN812" s="259"/>
      <c r="CO812" s="259"/>
      <c r="CP812" s="259"/>
      <c r="CQ812" s="259"/>
      <c r="CR812" s="259"/>
      <c r="CS812" s="259"/>
      <c r="CT812" s="259"/>
      <c r="CU812" s="259"/>
      <c r="CV812" s="259"/>
      <c r="CW812" s="259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  <c r="BF813" s="30"/>
      <c r="BG813" s="30"/>
      <c r="BH813" s="30"/>
      <c r="BI813" s="30"/>
      <c r="BJ813" s="30"/>
      <c r="BK813" s="30"/>
      <c r="BL813" s="30"/>
      <c r="BM813" s="30"/>
      <c r="BN813" s="30"/>
      <c r="BO813" s="259"/>
      <c r="BP813" s="259"/>
      <c r="BQ813" s="259"/>
      <c r="BR813" s="259"/>
      <c r="BS813" s="259"/>
      <c r="BT813" s="259"/>
      <c r="BU813" s="259"/>
      <c r="BV813" s="259"/>
      <c r="BW813" s="259"/>
      <c r="BX813" s="259"/>
      <c r="BY813" s="259"/>
      <c r="BZ813" s="260"/>
      <c r="CA813" s="259"/>
      <c r="CB813" s="259"/>
      <c r="CC813" s="259"/>
      <c r="CD813" s="259"/>
      <c r="CE813" s="259"/>
      <c r="CF813" s="259"/>
      <c r="CG813" s="259"/>
      <c r="CH813" s="259"/>
      <c r="CI813" s="259"/>
      <c r="CJ813" s="259"/>
      <c r="CK813" s="259"/>
      <c r="CL813" s="259"/>
      <c r="CM813" s="259"/>
      <c r="CN813" s="259"/>
      <c r="CO813" s="259"/>
      <c r="CP813" s="259"/>
      <c r="CQ813" s="259"/>
      <c r="CR813" s="259"/>
      <c r="CS813" s="259"/>
      <c r="CT813" s="259"/>
      <c r="CU813" s="259"/>
      <c r="CV813" s="259"/>
      <c r="CW813" s="259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  <c r="BF814" s="30"/>
      <c r="BG814" s="30"/>
      <c r="BH814" s="30"/>
      <c r="BI814" s="30"/>
      <c r="BJ814" s="30"/>
      <c r="BK814" s="30"/>
      <c r="BL814" s="30"/>
      <c r="BM814" s="30"/>
      <c r="BN814" s="30"/>
      <c r="BO814" s="259"/>
      <c r="BP814" s="259"/>
      <c r="BQ814" s="259"/>
      <c r="BR814" s="259"/>
      <c r="BS814" s="259"/>
      <c r="BT814" s="259"/>
      <c r="BU814" s="259"/>
      <c r="BV814" s="259"/>
      <c r="BW814" s="259"/>
      <c r="BX814" s="259"/>
      <c r="BY814" s="259"/>
      <c r="BZ814" s="260"/>
      <c r="CA814" s="259"/>
      <c r="CB814" s="259"/>
      <c r="CC814" s="259"/>
      <c r="CD814" s="259"/>
      <c r="CE814" s="259"/>
      <c r="CF814" s="259"/>
      <c r="CG814" s="259"/>
      <c r="CH814" s="259"/>
      <c r="CI814" s="259"/>
      <c r="CJ814" s="259"/>
      <c r="CK814" s="259"/>
      <c r="CL814" s="259"/>
      <c r="CM814" s="259"/>
      <c r="CN814" s="259"/>
      <c r="CO814" s="259"/>
      <c r="CP814" s="259"/>
      <c r="CQ814" s="259"/>
      <c r="CR814" s="259"/>
      <c r="CS814" s="259"/>
      <c r="CT814" s="259"/>
      <c r="CU814" s="259"/>
      <c r="CV814" s="259"/>
      <c r="CW814" s="259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  <c r="BF815" s="30"/>
      <c r="BG815" s="30"/>
      <c r="BH815" s="30"/>
      <c r="BI815" s="30"/>
      <c r="BJ815" s="30"/>
      <c r="BK815" s="30"/>
      <c r="BL815" s="30"/>
      <c r="BM815" s="30"/>
      <c r="BN815" s="30"/>
      <c r="BO815" s="259"/>
      <c r="BP815" s="259"/>
      <c r="BQ815" s="259"/>
      <c r="BR815" s="259"/>
      <c r="BS815" s="259"/>
      <c r="BT815" s="259"/>
      <c r="BU815" s="259"/>
      <c r="BV815" s="259"/>
      <c r="BW815" s="259"/>
      <c r="BX815" s="259"/>
      <c r="BY815" s="259"/>
      <c r="BZ815" s="260"/>
      <c r="CA815" s="259"/>
      <c r="CB815" s="259"/>
      <c r="CC815" s="259"/>
      <c r="CD815" s="259"/>
      <c r="CE815" s="259"/>
      <c r="CF815" s="259"/>
      <c r="CG815" s="259"/>
      <c r="CH815" s="259"/>
      <c r="CI815" s="259"/>
      <c r="CJ815" s="259"/>
      <c r="CK815" s="259"/>
      <c r="CL815" s="259"/>
      <c r="CM815" s="259"/>
      <c r="CN815" s="259"/>
      <c r="CO815" s="259"/>
      <c r="CP815" s="259"/>
      <c r="CQ815" s="259"/>
      <c r="CR815" s="259"/>
      <c r="CS815" s="259"/>
      <c r="CT815" s="259"/>
      <c r="CU815" s="259"/>
      <c r="CV815" s="259"/>
      <c r="CW815" s="259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  <c r="BF816" s="30"/>
      <c r="BG816" s="30"/>
      <c r="BH816" s="30"/>
      <c r="BI816" s="30"/>
      <c r="BJ816" s="30"/>
      <c r="BK816" s="30"/>
      <c r="BL816" s="30"/>
      <c r="BM816" s="30"/>
      <c r="BN816" s="30"/>
      <c r="BO816" s="259"/>
      <c r="BP816" s="259"/>
      <c r="BQ816" s="259"/>
      <c r="BR816" s="259"/>
      <c r="BS816" s="259"/>
      <c r="BT816" s="259"/>
      <c r="BU816" s="259"/>
      <c r="BV816" s="259"/>
      <c r="BW816" s="259"/>
      <c r="BX816" s="259"/>
      <c r="BY816" s="259"/>
      <c r="BZ816" s="260"/>
      <c r="CA816" s="259"/>
      <c r="CB816" s="259"/>
      <c r="CC816" s="259"/>
      <c r="CD816" s="259"/>
      <c r="CE816" s="259"/>
      <c r="CF816" s="259"/>
      <c r="CG816" s="259"/>
      <c r="CH816" s="259"/>
      <c r="CI816" s="259"/>
      <c r="CJ816" s="259"/>
      <c r="CK816" s="259"/>
      <c r="CL816" s="259"/>
      <c r="CM816" s="259"/>
      <c r="CN816" s="259"/>
      <c r="CO816" s="259"/>
      <c r="CP816" s="259"/>
      <c r="CQ816" s="259"/>
      <c r="CR816" s="259"/>
      <c r="CS816" s="259"/>
      <c r="CT816" s="259"/>
      <c r="CU816" s="259"/>
      <c r="CV816" s="259"/>
      <c r="CW816" s="259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  <c r="BF817" s="30"/>
      <c r="BG817" s="30"/>
      <c r="BH817" s="30"/>
      <c r="BI817" s="30"/>
      <c r="BJ817" s="30"/>
      <c r="BK817" s="30"/>
      <c r="BL817" s="30"/>
      <c r="BM817" s="30"/>
      <c r="BN817" s="30"/>
      <c r="BO817" s="259"/>
      <c r="BP817" s="259"/>
      <c r="BQ817" s="259"/>
      <c r="BR817" s="259"/>
      <c r="BS817" s="259"/>
      <c r="BT817" s="259"/>
      <c r="BU817" s="259"/>
      <c r="BV817" s="259"/>
      <c r="BW817" s="259"/>
      <c r="BX817" s="259"/>
      <c r="BY817" s="259"/>
      <c r="BZ817" s="260"/>
      <c r="CA817" s="259"/>
      <c r="CB817" s="259"/>
      <c r="CC817" s="259"/>
      <c r="CD817" s="259"/>
      <c r="CE817" s="259"/>
      <c r="CF817" s="259"/>
      <c r="CG817" s="259"/>
      <c r="CH817" s="259"/>
      <c r="CI817" s="259"/>
      <c r="CJ817" s="259"/>
      <c r="CK817" s="259"/>
      <c r="CL817" s="259"/>
      <c r="CM817" s="259"/>
      <c r="CN817" s="259"/>
      <c r="CO817" s="259"/>
      <c r="CP817" s="259"/>
      <c r="CQ817" s="259"/>
      <c r="CR817" s="259"/>
      <c r="CS817" s="259"/>
      <c r="CT817" s="259"/>
      <c r="CU817" s="259"/>
      <c r="CV817" s="259"/>
      <c r="CW817" s="259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  <c r="BI818" s="30"/>
      <c r="BJ818" s="30"/>
      <c r="BK818" s="30"/>
      <c r="BL818" s="30"/>
      <c r="BM818" s="30"/>
      <c r="BN818" s="30"/>
      <c r="BO818" s="259"/>
      <c r="BP818" s="259"/>
      <c r="BQ818" s="259"/>
      <c r="BR818" s="259"/>
      <c r="BS818" s="259"/>
      <c r="BT818" s="259"/>
      <c r="BU818" s="259"/>
      <c r="BV818" s="259"/>
      <c r="BW818" s="259"/>
      <c r="BX818" s="259"/>
      <c r="BY818" s="259"/>
      <c r="BZ818" s="260"/>
      <c r="CA818" s="259"/>
      <c r="CB818" s="259"/>
      <c r="CC818" s="259"/>
      <c r="CD818" s="259"/>
      <c r="CE818" s="259"/>
      <c r="CF818" s="259"/>
      <c r="CG818" s="259"/>
      <c r="CH818" s="259"/>
      <c r="CI818" s="259"/>
      <c r="CJ818" s="259"/>
      <c r="CK818" s="259"/>
      <c r="CL818" s="259"/>
      <c r="CM818" s="259"/>
      <c r="CN818" s="259"/>
      <c r="CO818" s="259"/>
      <c r="CP818" s="259"/>
      <c r="CQ818" s="259"/>
      <c r="CR818" s="259"/>
      <c r="CS818" s="259"/>
      <c r="CT818" s="259"/>
      <c r="CU818" s="259"/>
      <c r="CV818" s="259"/>
      <c r="CW818" s="259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  <c r="BF819" s="30"/>
      <c r="BG819" s="30"/>
      <c r="BH819" s="30"/>
      <c r="BI819" s="30"/>
      <c r="BJ819" s="30"/>
      <c r="BK819" s="30"/>
      <c r="BL819" s="30"/>
      <c r="BM819" s="30"/>
      <c r="BN819" s="30"/>
      <c r="BO819" s="259"/>
      <c r="BP819" s="259"/>
      <c r="BQ819" s="259"/>
      <c r="BR819" s="259"/>
      <c r="BS819" s="259"/>
      <c r="BT819" s="259"/>
      <c r="BU819" s="259"/>
      <c r="BV819" s="259"/>
      <c r="BW819" s="259"/>
      <c r="BX819" s="259"/>
      <c r="BY819" s="259"/>
      <c r="BZ819" s="260"/>
      <c r="CA819" s="259"/>
      <c r="CB819" s="259"/>
      <c r="CC819" s="259"/>
      <c r="CD819" s="259"/>
      <c r="CE819" s="259"/>
      <c r="CF819" s="259"/>
      <c r="CG819" s="259"/>
      <c r="CH819" s="259"/>
      <c r="CI819" s="259"/>
      <c r="CJ819" s="259"/>
      <c r="CK819" s="259"/>
      <c r="CL819" s="259"/>
      <c r="CM819" s="259"/>
      <c r="CN819" s="259"/>
      <c r="CO819" s="259"/>
      <c r="CP819" s="259"/>
      <c r="CQ819" s="259"/>
      <c r="CR819" s="259"/>
      <c r="CS819" s="259"/>
      <c r="CT819" s="259"/>
      <c r="CU819" s="259"/>
      <c r="CV819" s="259"/>
      <c r="CW819" s="259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  <c r="BF820" s="30"/>
      <c r="BG820" s="30"/>
      <c r="BH820" s="30"/>
      <c r="BI820" s="30"/>
      <c r="BJ820" s="30"/>
      <c r="BK820" s="30"/>
      <c r="BL820" s="30"/>
      <c r="BM820" s="30"/>
      <c r="BN820" s="30"/>
      <c r="BO820" s="259"/>
      <c r="BP820" s="259"/>
      <c r="BQ820" s="259"/>
      <c r="BR820" s="259"/>
      <c r="BS820" s="259"/>
      <c r="BT820" s="259"/>
      <c r="BU820" s="259"/>
      <c r="BV820" s="259"/>
      <c r="BW820" s="259"/>
      <c r="BX820" s="259"/>
      <c r="BY820" s="259"/>
      <c r="BZ820" s="260"/>
      <c r="CA820" s="259"/>
      <c r="CB820" s="259"/>
      <c r="CC820" s="259"/>
      <c r="CD820" s="259"/>
      <c r="CE820" s="259"/>
      <c r="CF820" s="259"/>
      <c r="CG820" s="259"/>
      <c r="CH820" s="259"/>
      <c r="CI820" s="259"/>
      <c r="CJ820" s="259"/>
      <c r="CK820" s="259"/>
      <c r="CL820" s="259"/>
      <c r="CM820" s="259"/>
      <c r="CN820" s="259"/>
      <c r="CO820" s="259"/>
      <c r="CP820" s="259"/>
      <c r="CQ820" s="259"/>
      <c r="CR820" s="259"/>
      <c r="CS820" s="259"/>
      <c r="CT820" s="259"/>
      <c r="CU820" s="259"/>
      <c r="CV820" s="259"/>
      <c r="CW820" s="259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  <c r="BI821" s="30"/>
      <c r="BJ821" s="30"/>
      <c r="BK821" s="30"/>
      <c r="BL821" s="30"/>
      <c r="BM821" s="30"/>
      <c r="BN821" s="30"/>
      <c r="BO821" s="259"/>
      <c r="BP821" s="259"/>
      <c r="BQ821" s="259"/>
      <c r="BR821" s="259"/>
      <c r="BS821" s="259"/>
      <c r="BT821" s="259"/>
      <c r="BU821" s="259"/>
      <c r="BV821" s="259"/>
      <c r="BW821" s="259"/>
      <c r="BX821" s="259"/>
      <c r="BY821" s="259"/>
      <c r="BZ821" s="260"/>
      <c r="CA821" s="259"/>
      <c r="CB821" s="259"/>
      <c r="CC821" s="259"/>
      <c r="CD821" s="259"/>
      <c r="CE821" s="259"/>
      <c r="CF821" s="259"/>
      <c r="CG821" s="259"/>
      <c r="CH821" s="259"/>
      <c r="CI821" s="259"/>
      <c r="CJ821" s="259"/>
      <c r="CK821" s="259"/>
      <c r="CL821" s="259"/>
      <c r="CM821" s="259"/>
      <c r="CN821" s="259"/>
      <c r="CO821" s="259"/>
      <c r="CP821" s="259"/>
      <c r="CQ821" s="259"/>
      <c r="CR821" s="259"/>
      <c r="CS821" s="259"/>
      <c r="CT821" s="259"/>
      <c r="CU821" s="259"/>
      <c r="CV821" s="259"/>
      <c r="CW821" s="259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  <c r="BI822" s="30"/>
      <c r="BJ822" s="30"/>
      <c r="BK822" s="30"/>
      <c r="BL822" s="30"/>
      <c r="BM822" s="30"/>
      <c r="BN822" s="30"/>
      <c r="BO822" s="259"/>
      <c r="BP822" s="259"/>
      <c r="BQ822" s="259"/>
      <c r="BR822" s="259"/>
      <c r="BS822" s="259"/>
      <c r="BT822" s="259"/>
      <c r="BU822" s="259"/>
      <c r="BV822" s="259"/>
      <c r="BW822" s="259"/>
      <c r="BX822" s="259"/>
      <c r="BY822" s="259"/>
      <c r="BZ822" s="260"/>
      <c r="CA822" s="259"/>
      <c r="CB822" s="259"/>
      <c r="CC822" s="259"/>
      <c r="CD822" s="259"/>
      <c r="CE822" s="259"/>
      <c r="CF822" s="259"/>
      <c r="CG822" s="259"/>
      <c r="CH822" s="259"/>
      <c r="CI822" s="259"/>
      <c r="CJ822" s="259"/>
      <c r="CK822" s="259"/>
      <c r="CL822" s="259"/>
      <c r="CM822" s="259"/>
      <c r="CN822" s="259"/>
      <c r="CO822" s="259"/>
      <c r="CP822" s="259"/>
      <c r="CQ822" s="259"/>
      <c r="CR822" s="259"/>
      <c r="CS822" s="259"/>
      <c r="CT822" s="259"/>
      <c r="CU822" s="259"/>
      <c r="CV822" s="259"/>
      <c r="CW822" s="259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  <c r="BF823" s="30"/>
      <c r="BG823" s="30"/>
      <c r="BH823" s="30"/>
      <c r="BI823" s="30"/>
      <c r="BJ823" s="30"/>
      <c r="BK823" s="30"/>
      <c r="BL823" s="30"/>
      <c r="BM823" s="30"/>
      <c r="BN823" s="30"/>
      <c r="BO823" s="259"/>
      <c r="BP823" s="259"/>
      <c r="BQ823" s="259"/>
      <c r="BR823" s="259"/>
      <c r="BS823" s="259"/>
      <c r="BT823" s="259"/>
      <c r="BU823" s="259"/>
      <c r="BV823" s="259"/>
      <c r="BW823" s="259"/>
      <c r="BX823" s="259"/>
      <c r="BY823" s="259"/>
      <c r="BZ823" s="260"/>
      <c r="CA823" s="259"/>
      <c r="CB823" s="259"/>
      <c r="CC823" s="259"/>
      <c r="CD823" s="259"/>
      <c r="CE823" s="259"/>
      <c r="CF823" s="259"/>
      <c r="CG823" s="259"/>
      <c r="CH823" s="259"/>
      <c r="CI823" s="259"/>
      <c r="CJ823" s="259"/>
      <c r="CK823" s="259"/>
      <c r="CL823" s="259"/>
      <c r="CM823" s="259"/>
      <c r="CN823" s="259"/>
      <c r="CO823" s="259"/>
      <c r="CP823" s="259"/>
      <c r="CQ823" s="259"/>
      <c r="CR823" s="259"/>
      <c r="CS823" s="259"/>
      <c r="CT823" s="259"/>
      <c r="CU823" s="259"/>
      <c r="CV823" s="259"/>
      <c r="CW823" s="259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  <c r="BF824" s="30"/>
      <c r="BG824" s="30"/>
      <c r="BH824" s="30"/>
      <c r="BI824" s="30"/>
      <c r="BJ824" s="30"/>
      <c r="BK824" s="30"/>
      <c r="BL824" s="30"/>
      <c r="BM824" s="30"/>
      <c r="BN824" s="30"/>
      <c r="BO824" s="259"/>
      <c r="BP824" s="259"/>
      <c r="BQ824" s="259"/>
      <c r="BR824" s="259"/>
      <c r="BS824" s="259"/>
      <c r="BT824" s="259"/>
      <c r="BU824" s="259"/>
      <c r="BV824" s="259"/>
      <c r="BW824" s="259"/>
      <c r="BX824" s="259"/>
      <c r="BY824" s="259"/>
      <c r="BZ824" s="260"/>
      <c r="CA824" s="259"/>
      <c r="CB824" s="259"/>
      <c r="CC824" s="259"/>
      <c r="CD824" s="259"/>
      <c r="CE824" s="259"/>
      <c r="CF824" s="259"/>
      <c r="CG824" s="259"/>
      <c r="CH824" s="259"/>
      <c r="CI824" s="259"/>
      <c r="CJ824" s="259"/>
      <c r="CK824" s="259"/>
      <c r="CL824" s="259"/>
      <c r="CM824" s="259"/>
      <c r="CN824" s="259"/>
      <c r="CO824" s="259"/>
      <c r="CP824" s="259"/>
      <c r="CQ824" s="259"/>
      <c r="CR824" s="259"/>
      <c r="CS824" s="259"/>
      <c r="CT824" s="259"/>
      <c r="CU824" s="259"/>
      <c r="CV824" s="259"/>
      <c r="CW824" s="259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  <c r="BF825" s="30"/>
      <c r="BG825" s="30"/>
      <c r="BH825" s="30"/>
      <c r="BI825" s="30"/>
      <c r="BJ825" s="30"/>
      <c r="BK825" s="30"/>
      <c r="BL825" s="30"/>
      <c r="BM825" s="30"/>
      <c r="BN825" s="30"/>
      <c r="BO825" s="259"/>
      <c r="BP825" s="259"/>
      <c r="BQ825" s="259"/>
      <c r="BR825" s="259"/>
      <c r="BS825" s="259"/>
      <c r="BT825" s="259"/>
      <c r="BU825" s="259"/>
      <c r="BV825" s="259"/>
      <c r="BW825" s="259"/>
      <c r="BX825" s="259"/>
      <c r="BY825" s="259"/>
      <c r="BZ825" s="260"/>
      <c r="CA825" s="259"/>
      <c r="CB825" s="259"/>
      <c r="CC825" s="259"/>
      <c r="CD825" s="259"/>
      <c r="CE825" s="259"/>
      <c r="CF825" s="259"/>
      <c r="CG825" s="259"/>
      <c r="CH825" s="259"/>
      <c r="CI825" s="259"/>
      <c r="CJ825" s="259"/>
      <c r="CK825" s="259"/>
      <c r="CL825" s="259"/>
      <c r="CM825" s="259"/>
      <c r="CN825" s="259"/>
      <c r="CO825" s="259"/>
      <c r="CP825" s="259"/>
      <c r="CQ825" s="259"/>
      <c r="CR825" s="259"/>
      <c r="CS825" s="259"/>
      <c r="CT825" s="259"/>
      <c r="CU825" s="259"/>
      <c r="CV825" s="259"/>
      <c r="CW825" s="259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30"/>
      <c r="BI826" s="30"/>
      <c r="BJ826" s="30"/>
      <c r="BK826" s="30"/>
      <c r="BL826" s="30"/>
      <c r="BM826" s="30"/>
      <c r="BN826" s="30"/>
      <c r="BO826" s="259"/>
      <c r="BP826" s="259"/>
      <c r="BQ826" s="259"/>
      <c r="BR826" s="259"/>
      <c r="BS826" s="259"/>
      <c r="BT826" s="259"/>
      <c r="BU826" s="259"/>
      <c r="BV826" s="259"/>
      <c r="BW826" s="259"/>
      <c r="BX826" s="259"/>
      <c r="BY826" s="259"/>
      <c r="BZ826" s="260"/>
      <c r="CA826" s="259"/>
      <c r="CB826" s="259"/>
      <c r="CC826" s="259"/>
      <c r="CD826" s="259"/>
      <c r="CE826" s="259"/>
      <c r="CF826" s="259"/>
      <c r="CG826" s="259"/>
      <c r="CH826" s="259"/>
      <c r="CI826" s="259"/>
      <c r="CJ826" s="259"/>
      <c r="CK826" s="259"/>
      <c r="CL826" s="259"/>
      <c r="CM826" s="259"/>
      <c r="CN826" s="259"/>
      <c r="CO826" s="259"/>
      <c r="CP826" s="259"/>
      <c r="CQ826" s="259"/>
      <c r="CR826" s="259"/>
      <c r="CS826" s="259"/>
      <c r="CT826" s="259"/>
      <c r="CU826" s="259"/>
      <c r="CV826" s="259"/>
      <c r="CW826" s="259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  <c r="BF827" s="30"/>
      <c r="BG827" s="30"/>
      <c r="BH827" s="30"/>
      <c r="BI827" s="30"/>
      <c r="BJ827" s="30"/>
      <c r="BK827" s="30"/>
      <c r="BL827" s="30"/>
      <c r="BM827" s="30"/>
      <c r="BN827" s="30"/>
      <c r="BO827" s="259"/>
      <c r="BP827" s="259"/>
      <c r="BQ827" s="259"/>
      <c r="BR827" s="259"/>
      <c r="BS827" s="259"/>
      <c r="BT827" s="259"/>
      <c r="BU827" s="259"/>
      <c r="BV827" s="259"/>
      <c r="BW827" s="259"/>
      <c r="BX827" s="259"/>
      <c r="BY827" s="259"/>
      <c r="BZ827" s="260"/>
      <c r="CA827" s="259"/>
      <c r="CB827" s="259"/>
      <c r="CC827" s="259"/>
      <c r="CD827" s="259"/>
      <c r="CE827" s="259"/>
      <c r="CF827" s="259"/>
      <c r="CG827" s="259"/>
      <c r="CH827" s="259"/>
      <c r="CI827" s="259"/>
      <c r="CJ827" s="259"/>
      <c r="CK827" s="259"/>
      <c r="CL827" s="259"/>
      <c r="CM827" s="259"/>
      <c r="CN827" s="259"/>
      <c r="CO827" s="259"/>
      <c r="CP827" s="259"/>
      <c r="CQ827" s="259"/>
      <c r="CR827" s="259"/>
      <c r="CS827" s="259"/>
      <c r="CT827" s="259"/>
      <c r="CU827" s="259"/>
      <c r="CV827" s="259"/>
      <c r="CW827" s="259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  <c r="BF828" s="30"/>
      <c r="BG828" s="30"/>
      <c r="BH828" s="30"/>
      <c r="BI828" s="30"/>
      <c r="BJ828" s="30"/>
      <c r="BK828" s="30"/>
      <c r="BL828" s="30"/>
      <c r="BM828" s="30"/>
      <c r="BN828" s="30"/>
      <c r="BO828" s="259"/>
      <c r="BP828" s="259"/>
      <c r="BQ828" s="259"/>
      <c r="BR828" s="259"/>
      <c r="BS828" s="259"/>
      <c r="BT828" s="259"/>
      <c r="BU828" s="259"/>
      <c r="BV828" s="259"/>
      <c r="BW828" s="259"/>
      <c r="BX828" s="259"/>
      <c r="BY828" s="259"/>
      <c r="BZ828" s="260"/>
      <c r="CA828" s="259"/>
      <c r="CB828" s="259"/>
      <c r="CC828" s="259"/>
      <c r="CD828" s="259"/>
      <c r="CE828" s="259"/>
      <c r="CF828" s="259"/>
      <c r="CG828" s="259"/>
      <c r="CH828" s="259"/>
      <c r="CI828" s="259"/>
      <c r="CJ828" s="259"/>
      <c r="CK828" s="259"/>
      <c r="CL828" s="259"/>
      <c r="CM828" s="259"/>
      <c r="CN828" s="259"/>
      <c r="CO828" s="259"/>
      <c r="CP828" s="259"/>
      <c r="CQ828" s="259"/>
      <c r="CR828" s="259"/>
      <c r="CS828" s="259"/>
      <c r="CT828" s="259"/>
      <c r="CU828" s="259"/>
      <c r="CV828" s="259"/>
      <c r="CW828" s="259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  <c r="BI829" s="30"/>
      <c r="BJ829" s="30"/>
      <c r="BK829" s="30"/>
      <c r="BL829" s="30"/>
      <c r="BM829" s="30"/>
      <c r="BN829" s="30"/>
      <c r="BO829" s="259"/>
      <c r="BP829" s="259"/>
      <c r="BQ829" s="259"/>
      <c r="BR829" s="259"/>
      <c r="BS829" s="259"/>
      <c r="BT829" s="259"/>
      <c r="BU829" s="259"/>
      <c r="BV829" s="259"/>
      <c r="BW829" s="259"/>
      <c r="BX829" s="259"/>
      <c r="BY829" s="259"/>
      <c r="BZ829" s="260"/>
      <c r="CA829" s="259"/>
      <c r="CB829" s="259"/>
      <c r="CC829" s="259"/>
      <c r="CD829" s="259"/>
      <c r="CE829" s="259"/>
      <c r="CF829" s="259"/>
      <c r="CG829" s="259"/>
      <c r="CH829" s="259"/>
      <c r="CI829" s="259"/>
      <c r="CJ829" s="259"/>
      <c r="CK829" s="259"/>
      <c r="CL829" s="259"/>
      <c r="CM829" s="259"/>
      <c r="CN829" s="259"/>
      <c r="CO829" s="259"/>
      <c r="CP829" s="259"/>
      <c r="CQ829" s="259"/>
      <c r="CR829" s="259"/>
      <c r="CS829" s="259"/>
      <c r="CT829" s="259"/>
      <c r="CU829" s="259"/>
      <c r="CV829" s="259"/>
      <c r="CW829" s="259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  <c r="BF830" s="30"/>
      <c r="BG830" s="30"/>
      <c r="BH830" s="30"/>
      <c r="BI830" s="30"/>
      <c r="BJ830" s="30"/>
      <c r="BK830" s="30"/>
      <c r="BL830" s="30"/>
      <c r="BM830" s="30"/>
      <c r="BN830" s="30"/>
      <c r="BO830" s="259"/>
      <c r="BP830" s="259"/>
      <c r="BQ830" s="259"/>
      <c r="BR830" s="259"/>
      <c r="BS830" s="259"/>
      <c r="BT830" s="259"/>
      <c r="BU830" s="259"/>
      <c r="BV830" s="259"/>
      <c r="BW830" s="259"/>
      <c r="BX830" s="259"/>
      <c r="BY830" s="259"/>
      <c r="BZ830" s="260"/>
      <c r="CA830" s="259"/>
      <c r="CB830" s="259"/>
      <c r="CC830" s="259"/>
      <c r="CD830" s="259"/>
      <c r="CE830" s="259"/>
      <c r="CF830" s="259"/>
      <c r="CG830" s="259"/>
      <c r="CH830" s="259"/>
      <c r="CI830" s="259"/>
      <c r="CJ830" s="259"/>
      <c r="CK830" s="259"/>
      <c r="CL830" s="259"/>
      <c r="CM830" s="259"/>
      <c r="CN830" s="259"/>
      <c r="CO830" s="259"/>
      <c r="CP830" s="259"/>
      <c r="CQ830" s="259"/>
      <c r="CR830" s="259"/>
      <c r="CS830" s="259"/>
      <c r="CT830" s="259"/>
      <c r="CU830" s="259"/>
      <c r="CV830" s="259"/>
      <c r="CW830" s="259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  <c r="BC831" s="30"/>
      <c r="BD831" s="30"/>
      <c r="BE831" s="30"/>
      <c r="BF831" s="30"/>
      <c r="BG831" s="30"/>
      <c r="BH831" s="30"/>
      <c r="BI831" s="30"/>
      <c r="BJ831" s="30"/>
      <c r="BK831" s="30"/>
      <c r="BL831" s="30"/>
      <c r="BM831" s="30"/>
      <c r="BN831" s="30"/>
      <c r="BO831" s="259"/>
      <c r="BP831" s="259"/>
      <c r="BQ831" s="259"/>
      <c r="BR831" s="259"/>
      <c r="BS831" s="259"/>
      <c r="BT831" s="259"/>
      <c r="BU831" s="259"/>
      <c r="BV831" s="259"/>
      <c r="BW831" s="259"/>
      <c r="BX831" s="259"/>
      <c r="BY831" s="259"/>
      <c r="BZ831" s="260"/>
      <c r="CA831" s="259"/>
      <c r="CB831" s="259"/>
      <c r="CC831" s="259"/>
      <c r="CD831" s="259"/>
      <c r="CE831" s="259"/>
      <c r="CF831" s="259"/>
      <c r="CG831" s="259"/>
      <c r="CH831" s="259"/>
      <c r="CI831" s="259"/>
      <c r="CJ831" s="259"/>
      <c r="CK831" s="259"/>
      <c r="CL831" s="259"/>
      <c r="CM831" s="259"/>
      <c r="CN831" s="259"/>
      <c r="CO831" s="259"/>
      <c r="CP831" s="259"/>
      <c r="CQ831" s="259"/>
      <c r="CR831" s="259"/>
      <c r="CS831" s="259"/>
      <c r="CT831" s="259"/>
      <c r="CU831" s="259"/>
      <c r="CV831" s="259"/>
      <c r="CW831" s="259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  <c r="BJ832" s="30"/>
      <c r="BK832" s="30"/>
      <c r="BL832" s="30"/>
      <c r="BM832" s="30"/>
      <c r="BN832" s="30"/>
      <c r="BO832" s="259"/>
      <c r="BP832" s="259"/>
      <c r="BQ832" s="259"/>
      <c r="BR832" s="259"/>
      <c r="BS832" s="259"/>
      <c r="BT832" s="259"/>
      <c r="BU832" s="259"/>
      <c r="BV832" s="259"/>
      <c r="BW832" s="259"/>
      <c r="BX832" s="259"/>
      <c r="BY832" s="259"/>
      <c r="BZ832" s="260"/>
      <c r="CA832" s="259"/>
      <c r="CB832" s="259"/>
      <c r="CC832" s="259"/>
      <c r="CD832" s="259"/>
      <c r="CE832" s="259"/>
      <c r="CF832" s="259"/>
      <c r="CG832" s="259"/>
      <c r="CH832" s="259"/>
      <c r="CI832" s="259"/>
      <c r="CJ832" s="259"/>
      <c r="CK832" s="259"/>
      <c r="CL832" s="259"/>
      <c r="CM832" s="259"/>
      <c r="CN832" s="259"/>
      <c r="CO832" s="259"/>
      <c r="CP832" s="259"/>
      <c r="CQ832" s="259"/>
      <c r="CR832" s="259"/>
      <c r="CS832" s="259"/>
      <c r="CT832" s="259"/>
      <c r="CU832" s="259"/>
      <c r="CV832" s="259"/>
      <c r="CW832" s="259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  <c r="BD833" s="30"/>
      <c r="BE833" s="30"/>
      <c r="BF833" s="30"/>
      <c r="BG833" s="30"/>
      <c r="BH833" s="30"/>
      <c r="BI833" s="30"/>
      <c r="BJ833" s="30"/>
      <c r="BK833" s="30"/>
      <c r="BL833" s="30"/>
      <c r="BM833" s="30"/>
      <c r="BN833" s="30"/>
      <c r="BO833" s="259"/>
      <c r="BP833" s="259"/>
      <c r="BQ833" s="259"/>
      <c r="BR833" s="259"/>
      <c r="BS833" s="259"/>
      <c r="BT833" s="259"/>
      <c r="BU833" s="259"/>
      <c r="BV833" s="259"/>
      <c r="BW833" s="259"/>
      <c r="BX833" s="259"/>
      <c r="BY833" s="259"/>
      <c r="BZ833" s="260"/>
      <c r="CA833" s="259"/>
      <c r="CB833" s="259"/>
      <c r="CC833" s="259"/>
      <c r="CD833" s="259"/>
      <c r="CE833" s="259"/>
      <c r="CF833" s="259"/>
      <c r="CG833" s="259"/>
      <c r="CH833" s="259"/>
      <c r="CI833" s="259"/>
      <c r="CJ833" s="259"/>
      <c r="CK833" s="259"/>
      <c r="CL833" s="259"/>
      <c r="CM833" s="259"/>
      <c r="CN833" s="259"/>
      <c r="CO833" s="259"/>
      <c r="CP833" s="259"/>
      <c r="CQ833" s="259"/>
      <c r="CR833" s="259"/>
      <c r="CS833" s="259"/>
      <c r="CT833" s="259"/>
      <c r="CU833" s="259"/>
      <c r="CV833" s="259"/>
      <c r="CW833" s="259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  <c r="BD834" s="30"/>
      <c r="BE834" s="30"/>
      <c r="BF834" s="30"/>
      <c r="BG834" s="30"/>
      <c r="BH834" s="30"/>
      <c r="BI834" s="30"/>
      <c r="BJ834" s="30"/>
      <c r="BK834" s="30"/>
      <c r="BL834" s="30"/>
      <c r="BM834" s="30"/>
      <c r="BN834" s="30"/>
      <c r="BO834" s="259"/>
      <c r="BP834" s="259"/>
      <c r="BQ834" s="259"/>
      <c r="BR834" s="259"/>
      <c r="BS834" s="259"/>
      <c r="BT834" s="259"/>
      <c r="BU834" s="259"/>
      <c r="BV834" s="259"/>
      <c r="BW834" s="259"/>
      <c r="BX834" s="259"/>
      <c r="BY834" s="259"/>
      <c r="BZ834" s="260"/>
      <c r="CA834" s="259"/>
      <c r="CB834" s="259"/>
      <c r="CC834" s="259"/>
      <c r="CD834" s="259"/>
      <c r="CE834" s="259"/>
      <c r="CF834" s="259"/>
      <c r="CG834" s="259"/>
      <c r="CH834" s="259"/>
      <c r="CI834" s="259"/>
      <c r="CJ834" s="259"/>
      <c r="CK834" s="259"/>
      <c r="CL834" s="259"/>
      <c r="CM834" s="259"/>
      <c r="CN834" s="259"/>
      <c r="CO834" s="259"/>
      <c r="CP834" s="259"/>
      <c r="CQ834" s="259"/>
      <c r="CR834" s="259"/>
      <c r="CS834" s="259"/>
      <c r="CT834" s="259"/>
      <c r="CU834" s="259"/>
      <c r="CV834" s="259"/>
      <c r="CW834" s="259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30"/>
      <c r="BN835" s="30"/>
      <c r="BO835" s="259"/>
      <c r="BP835" s="259"/>
      <c r="BQ835" s="259"/>
      <c r="BR835" s="259"/>
      <c r="BS835" s="259"/>
      <c r="BT835" s="259"/>
      <c r="BU835" s="259"/>
      <c r="BV835" s="259"/>
      <c r="BW835" s="259"/>
      <c r="BX835" s="259"/>
      <c r="BY835" s="259"/>
      <c r="BZ835" s="260"/>
      <c r="CA835" s="259"/>
      <c r="CB835" s="259"/>
      <c r="CC835" s="259"/>
      <c r="CD835" s="259"/>
      <c r="CE835" s="259"/>
      <c r="CF835" s="259"/>
      <c r="CG835" s="259"/>
      <c r="CH835" s="259"/>
      <c r="CI835" s="259"/>
      <c r="CJ835" s="259"/>
      <c r="CK835" s="259"/>
      <c r="CL835" s="259"/>
      <c r="CM835" s="259"/>
      <c r="CN835" s="259"/>
      <c r="CO835" s="259"/>
      <c r="CP835" s="259"/>
      <c r="CQ835" s="259"/>
      <c r="CR835" s="259"/>
      <c r="CS835" s="259"/>
      <c r="CT835" s="259"/>
      <c r="CU835" s="259"/>
      <c r="CV835" s="259"/>
      <c r="CW835" s="259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30"/>
      <c r="BI836" s="30"/>
      <c r="BJ836" s="30"/>
      <c r="BK836" s="30"/>
      <c r="BL836" s="30"/>
      <c r="BM836" s="30"/>
      <c r="BN836" s="30"/>
      <c r="BO836" s="259"/>
      <c r="BP836" s="259"/>
      <c r="BQ836" s="259"/>
      <c r="BR836" s="259"/>
      <c r="BS836" s="259"/>
      <c r="BT836" s="259"/>
      <c r="BU836" s="259"/>
      <c r="BV836" s="259"/>
      <c r="BW836" s="259"/>
      <c r="BX836" s="259"/>
      <c r="BY836" s="259"/>
      <c r="BZ836" s="260"/>
      <c r="CA836" s="259"/>
      <c r="CB836" s="259"/>
      <c r="CC836" s="259"/>
      <c r="CD836" s="259"/>
      <c r="CE836" s="259"/>
      <c r="CF836" s="259"/>
      <c r="CG836" s="259"/>
      <c r="CH836" s="259"/>
      <c r="CI836" s="259"/>
      <c r="CJ836" s="259"/>
      <c r="CK836" s="259"/>
      <c r="CL836" s="259"/>
      <c r="CM836" s="259"/>
      <c r="CN836" s="259"/>
      <c r="CO836" s="259"/>
      <c r="CP836" s="259"/>
      <c r="CQ836" s="259"/>
      <c r="CR836" s="259"/>
      <c r="CS836" s="259"/>
      <c r="CT836" s="259"/>
      <c r="CU836" s="259"/>
      <c r="CV836" s="259"/>
      <c r="CW836" s="259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30"/>
      <c r="BI837" s="30"/>
      <c r="BJ837" s="30"/>
      <c r="BK837" s="30"/>
      <c r="BL837" s="30"/>
      <c r="BM837" s="30"/>
      <c r="BN837" s="30"/>
      <c r="BO837" s="259"/>
      <c r="BP837" s="259"/>
      <c r="BQ837" s="259"/>
      <c r="BR837" s="259"/>
      <c r="BS837" s="259"/>
      <c r="BT837" s="259"/>
      <c r="BU837" s="259"/>
      <c r="BV837" s="259"/>
      <c r="BW837" s="259"/>
      <c r="BX837" s="259"/>
      <c r="BY837" s="259"/>
      <c r="BZ837" s="260"/>
      <c r="CA837" s="259"/>
      <c r="CB837" s="259"/>
      <c r="CC837" s="259"/>
      <c r="CD837" s="259"/>
      <c r="CE837" s="259"/>
      <c r="CF837" s="259"/>
      <c r="CG837" s="259"/>
      <c r="CH837" s="259"/>
      <c r="CI837" s="259"/>
      <c r="CJ837" s="259"/>
      <c r="CK837" s="259"/>
      <c r="CL837" s="259"/>
      <c r="CM837" s="259"/>
      <c r="CN837" s="259"/>
      <c r="CO837" s="259"/>
      <c r="CP837" s="259"/>
      <c r="CQ837" s="259"/>
      <c r="CR837" s="259"/>
      <c r="CS837" s="259"/>
      <c r="CT837" s="259"/>
      <c r="CU837" s="259"/>
      <c r="CV837" s="259"/>
      <c r="CW837" s="259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  <c r="BI838" s="30"/>
      <c r="BJ838" s="30"/>
      <c r="BK838" s="30"/>
      <c r="BL838" s="30"/>
      <c r="BM838" s="30"/>
      <c r="BN838" s="30"/>
      <c r="BO838" s="259"/>
      <c r="BP838" s="259"/>
      <c r="BQ838" s="259"/>
      <c r="BR838" s="259"/>
      <c r="BS838" s="259"/>
      <c r="BT838" s="259"/>
      <c r="BU838" s="259"/>
      <c r="BV838" s="259"/>
      <c r="BW838" s="259"/>
      <c r="BX838" s="259"/>
      <c r="BY838" s="259"/>
      <c r="BZ838" s="260"/>
      <c r="CA838" s="259"/>
      <c r="CB838" s="259"/>
      <c r="CC838" s="259"/>
      <c r="CD838" s="259"/>
      <c r="CE838" s="259"/>
      <c r="CF838" s="259"/>
      <c r="CG838" s="259"/>
      <c r="CH838" s="259"/>
      <c r="CI838" s="259"/>
      <c r="CJ838" s="259"/>
      <c r="CK838" s="259"/>
      <c r="CL838" s="259"/>
      <c r="CM838" s="259"/>
      <c r="CN838" s="259"/>
      <c r="CO838" s="259"/>
      <c r="CP838" s="259"/>
      <c r="CQ838" s="259"/>
      <c r="CR838" s="259"/>
      <c r="CS838" s="259"/>
      <c r="CT838" s="259"/>
      <c r="CU838" s="259"/>
      <c r="CV838" s="259"/>
      <c r="CW838" s="259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  <c r="BC839" s="30"/>
      <c r="BD839" s="30"/>
      <c r="BE839" s="30"/>
      <c r="BF839" s="30"/>
      <c r="BG839" s="30"/>
      <c r="BH839" s="30"/>
      <c r="BI839" s="30"/>
      <c r="BJ839" s="30"/>
      <c r="BK839" s="30"/>
      <c r="BL839" s="30"/>
      <c r="BM839" s="30"/>
      <c r="BN839" s="30"/>
      <c r="BO839" s="259"/>
      <c r="BP839" s="259"/>
      <c r="BQ839" s="259"/>
      <c r="BR839" s="259"/>
      <c r="BS839" s="259"/>
      <c r="BT839" s="259"/>
      <c r="BU839" s="259"/>
      <c r="BV839" s="259"/>
      <c r="BW839" s="259"/>
      <c r="BX839" s="259"/>
      <c r="BY839" s="259"/>
      <c r="BZ839" s="260"/>
      <c r="CA839" s="259"/>
      <c r="CB839" s="259"/>
      <c r="CC839" s="259"/>
      <c r="CD839" s="259"/>
      <c r="CE839" s="259"/>
      <c r="CF839" s="259"/>
      <c r="CG839" s="259"/>
      <c r="CH839" s="259"/>
      <c r="CI839" s="259"/>
      <c r="CJ839" s="259"/>
      <c r="CK839" s="259"/>
      <c r="CL839" s="259"/>
      <c r="CM839" s="259"/>
      <c r="CN839" s="259"/>
      <c r="CO839" s="259"/>
      <c r="CP839" s="259"/>
      <c r="CQ839" s="259"/>
      <c r="CR839" s="259"/>
      <c r="CS839" s="259"/>
      <c r="CT839" s="259"/>
      <c r="CU839" s="259"/>
      <c r="CV839" s="259"/>
      <c r="CW839" s="259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  <c r="BD840" s="30"/>
      <c r="BE840" s="30"/>
      <c r="BF840" s="30"/>
      <c r="BG840" s="30"/>
      <c r="BH840" s="30"/>
      <c r="BI840" s="30"/>
      <c r="BJ840" s="30"/>
      <c r="BK840" s="30"/>
      <c r="BL840" s="30"/>
      <c r="BM840" s="30"/>
      <c r="BN840" s="30"/>
      <c r="BO840" s="259"/>
      <c r="BP840" s="259"/>
      <c r="BQ840" s="259"/>
      <c r="BR840" s="259"/>
      <c r="BS840" s="259"/>
      <c r="BT840" s="259"/>
      <c r="BU840" s="259"/>
      <c r="BV840" s="259"/>
      <c r="BW840" s="259"/>
      <c r="BX840" s="259"/>
      <c r="BY840" s="259"/>
      <c r="BZ840" s="260"/>
      <c r="CA840" s="259"/>
      <c r="CB840" s="259"/>
      <c r="CC840" s="259"/>
      <c r="CD840" s="259"/>
      <c r="CE840" s="259"/>
      <c r="CF840" s="259"/>
      <c r="CG840" s="259"/>
      <c r="CH840" s="259"/>
      <c r="CI840" s="259"/>
      <c r="CJ840" s="259"/>
      <c r="CK840" s="259"/>
      <c r="CL840" s="259"/>
      <c r="CM840" s="259"/>
      <c r="CN840" s="259"/>
      <c r="CO840" s="259"/>
      <c r="CP840" s="259"/>
      <c r="CQ840" s="259"/>
      <c r="CR840" s="259"/>
      <c r="CS840" s="259"/>
      <c r="CT840" s="259"/>
      <c r="CU840" s="259"/>
      <c r="CV840" s="259"/>
      <c r="CW840" s="259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30"/>
      <c r="BI841" s="30"/>
      <c r="BJ841" s="30"/>
      <c r="BK841" s="30"/>
      <c r="BL841" s="30"/>
      <c r="BM841" s="30"/>
      <c r="BN841" s="30"/>
      <c r="BO841" s="259"/>
      <c r="BP841" s="259"/>
      <c r="BQ841" s="259"/>
      <c r="BR841" s="259"/>
      <c r="BS841" s="259"/>
      <c r="BT841" s="259"/>
      <c r="BU841" s="259"/>
      <c r="BV841" s="259"/>
      <c r="BW841" s="259"/>
      <c r="BX841" s="259"/>
      <c r="BY841" s="259"/>
      <c r="BZ841" s="260"/>
      <c r="CA841" s="259"/>
      <c r="CB841" s="259"/>
      <c r="CC841" s="259"/>
      <c r="CD841" s="259"/>
      <c r="CE841" s="259"/>
      <c r="CF841" s="259"/>
      <c r="CG841" s="259"/>
      <c r="CH841" s="259"/>
      <c r="CI841" s="259"/>
      <c r="CJ841" s="259"/>
      <c r="CK841" s="259"/>
      <c r="CL841" s="259"/>
      <c r="CM841" s="259"/>
      <c r="CN841" s="259"/>
      <c r="CO841" s="259"/>
      <c r="CP841" s="259"/>
      <c r="CQ841" s="259"/>
      <c r="CR841" s="259"/>
      <c r="CS841" s="259"/>
      <c r="CT841" s="259"/>
      <c r="CU841" s="259"/>
      <c r="CV841" s="259"/>
      <c r="CW841" s="259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  <c r="BD842" s="30"/>
      <c r="BE842" s="30"/>
      <c r="BF842" s="30"/>
      <c r="BG842" s="30"/>
      <c r="BH842" s="30"/>
      <c r="BI842" s="30"/>
      <c r="BJ842" s="30"/>
      <c r="BK842" s="30"/>
      <c r="BL842" s="30"/>
      <c r="BM842" s="30"/>
      <c r="BN842" s="30"/>
      <c r="BO842" s="259"/>
      <c r="BP842" s="259"/>
      <c r="BQ842" s="259"/>
      <c r="BR842" s="259"/>
      <c r="BS842" s="259"/>
      <c r="BT842" s="259"/>
      <c r="BU842" s="259"/>
      <c r="BV842" s="259"/>
      <c r="BW842" s="259"/>
      <c r="BX842" s="259"/>
      <c r="BY842" s="259"/>
      <c r="BZ842" s="260"/>
      <c r="CA842" s="259"/>
      <c r="CB842" s="259"/>
      <c r="CC842" s="259"/>
      <c r="CD842" s="259"/>
      <c r="CE842" s="259"/>
      <c r="CF842" s="259"/>
      <c r="CG842" s="259"/>
      <c r="CH842" s="259"/>
      <c r="CI842" s="259"/>
      <c r="CJ842" s="259"/>
      <c r="CK842" s="259"/>
      <c r="CL842" s="259"/>
      <c r="CM842" s="259"/>
      <c r="CN842" s="259"/>
      <c r="CO842" s="259"/>
      <c r="CP842" s="259"/>
      <c r="CQ842" s="259"/>
      <c r="CR842" s="259"/>
      <c r="CS842" s="259"/>
      <c r="CT842" s="259"/>
      <c r="CU842" s="259"/>
      <c r="CV842" s="259"/>
      <c r="CW842" s="259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  <c r="BC843" s="30"/>
      <c r="BD843" s="30"/>
      <c r="BE843" s="30"/>
      <c r="BF843" s="30"/>
      <c r="BG843" s="30"/>
      <c r="BH843" s="30"/>
      <c r="BI843" s="30"/>
      <c r="BJ843" s="30"/>
      <c r="BK843" s="30"/>
      <c r="BL843" s="30"/>
      <c r="BM843" s="30"/>
      <c r="BN843" s="30"/>
      <c r="BO843" s="259"/>
      <c r="BP843" s="259"/>
      <c r="BQ843" s="259"/>
      <c r="BR843" s="259"/>
      <c r="BS843" s="259"/>
      <c r="BT843" s="259"/>
      <c r="BU843" s="259"/>
      <c r="BV843" s="259"/>
      <c r="BW843" s="259"/>
      <c r="BX843" s="259"/>
      <c r="BY843" s="259"/>
      <c r="BZ843" s="260"/>
      <c r="CA843" s="259"/>
      <c r="CB843" s="259"/>
      <c r="CC843" s="259"/>
      <c r="CD843" s="259"/>
      <c r="CE843" s="259"/>
      <c r="CF843" s="259"/>
      <c r="CG843" s="259"/>
      <c r="CH843" s="259"/>
      <c r="CI843" s="259"/>
      <c r="CJ843" s="259"/>
      <c r="CK843" s="259"/>
      <c r="CL843" s="259"/>
      <c r="CM843" s="259"/>
      <c r="CN843" s="259"/>
      <c r="CO843" s="259"/>
      <c r="CP843" s="259"/>
      <c r="CQ843" s="259"/>
      <c r="CR843" s="259"/>
      <c r="CS843" s="259"/>
      <c r="CT843" s="259"/>
      <c r="CU843" s="259"/>
      <c r="CV843" s="259"/>
      <c r="CW843" s="259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30"/>
      <c r="BI844" s="30"/>
      <c r="BJ844" s="30"/>
      <c r="BK844" s="30"/>
      <c r="BL844" s="30"/>
      <c r="BM844" s="30"/>
      <c r="BN844" s="30"/>
      <c r="BO844" s="259"/>
      <c r="BP844" s="259"/>
      <c r="BQ844" s="259"/>
      <c r="BR844" s="259"/>
      <c r="BS844" s="259"/>
      <c r="BT844" s="259"/>
      <c r="BU844" s="259"/>
      <c r="BV844" s="259"/>
      <c r="BW844" s="259"/>
      <c r="BX844" s="259"/>
      <c r="BY844" s="259"/>
      <c r="BZ844" s="260"/>
      <c r="CA844" s="259"/>
      <c r="CB844" s="259"/>
      <c r="CC844" s="259"/>
      <c r="CD844" s="259"/>
      <c r="CE844" s="259"/>
      <c r="CF844" s="259"/>
      <c r="CG844" s="259"/>
      <c r="CH844" s="259"/>
      <c r="CI844" s="259"/>
      <c r="CJ844" s="259"/>
      <c r="CK844" s="259"/>
      <c r="CL844" s="259"/>
      <c r="CM844" s="259"/>
      <c r="CN844" s="259"/>
      <c r="CO844" s="259"/>
      <c r="CP844" s="259"/>
      <c r="CQ844" s="259"/>
      <c r="CR844" s="259"/>
      <c r="CS844" s="259"/>
      <c r="CT844" s="259"/>
      <c r="CU844" s="259"/>
      <c r="CV844" s="259"/>
      <c r="CW844" s="259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  <c r="BC845" s="30"/>
      <c r="BD845" s="30"/>
      <c r="BE845" s="30"/>
      <c r="BF845" s="30"/>
      <c r="BG845" s="30"/>
      <c r="BH845" s="30"/>
      <c r="BI845" s="30"/>
      <c r="BJ845" s="30"/>
      <c r="BK845" s="30"/>
      <c r="BL845" s="30"/>
      <c r="BM845" s="30"/>
      <c r="BN845" s="30"/>
      <c r="BO845" s="259"/>
      <c r="BP845" s="259"/>
      <c r="BQ845" s="259"/>
      <c r="BR845" s="259"/>
      <c r="BS845" s="259"/>
      <c r="BT845" s="259"/>
      <c r="BU845" s="259"/>
      <c r="BV845" s="259"/>
      <c r="BW845" s="259"/>
      <c r="BX845" s="259"/>
      <c r="BY845" s="259"/>
      <c r="BZ845" s="260"/>
      <c r="CA845" s="259"/>
      <c r="CB845" s="259"/>
      <c r="CC845" s="259"/>
      <c r="CD845" s="259"/>
      <c r="CE845" s="259"/>
      <c r="CF845" s="259"/>
      <c r="CG845" s="259"/>
      <c r="CH845" s="259"/>
      <c r="CI845" s="259"/>
      <c r="CJ845" s="259"/>
      <c r="CK845" s="259"/>
      <c r="CL845" s="259"/>
      <c r="CM845" s="259"/>
      <c r="CN845" s="259"/>
      <c r="CO845" s="259"/>
      <c r="CP845" s="259"/>
      <c r="CQ845" s="259"/>
      <c r="CR845" s="259"/>
      <c r="CS845" s="259"/>
      <c r="CT845" s="259"/>
      <c r="CU845" s="259"/>
      <c r="CV845" s="259"/>
      <c r="CW845" s="259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30"/>
      <c r="BI846" s="30"/>
      <c r="BJ846" s="30"/>
      <c r="BK846" s="30"/>
      <c r="BL846" s="30"/>
      <c r="BM846" s="30"/>
      <c r="BN846" s="30"/>
      <c r="BO846" s="259"/>
      <c r="BP846" s="259"/>
      <c r="BQ846" s="259"/>
      <c r="BR846" s="259"/>
      <c r="BS846" s="259"/>
      <c r="BT846" s="259"/>
      <c r="BU846" s="259"/>
      <c r="BV846" s="259"/>
      <c r="BW846" s="259"/>
      <c r="BX846" s="259"/>
      <c r="BY846" s="259"/>
      <c r="BZ846" s="260"/>
      <c r="CA846" s="259"/>
      <c r="CB846" s="259"/>
      <c r="CC846" s="259"/>
      <c r="CD846" s="259"/>
      <c r="CE846" s="259"/>
      <c r="CF846" s="259"/>
      <c r="CG846" s="259"/>
      <c r="CH846" s="259"/>
      <c r="CI846" s="259"/>
      <c r="CJ846" s="259"/>
      <c r="CK846" s="259"/>
      <c r="CL846" s="259"/>
      <c r="CM846" s="259"/>
      <c r="CN846" s="259"/>
      <c r="CO846" s="259"/>
      <c r="CP846" s="259"/>
      <c r="CQ846" s="259"/>
      <c r="CR846" s="259"/>
      <c r="CS846" s="259"/>
      <c r="CT846" s="259"/>
      <c r="CU846" s="259"/>
      <c r="CV846" s="259"/>
      <c r="CW846" s="259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  <c r="BD847" s="30"/>
      <c r="BE847" s="30"/>
      <c r="BF847" s="30"/>
      <c r="BG847" s="30"/>
      <c r="BH847" s="30"/>
      <c r="BI847" s="30"/>
      <c r="BJ847" s="30"/>
      <c r="BK847" s="30"/>
      <c r="BL847" s="30"/>
      <c r="BM847" s="30"/>
      <c r="BN847" s="30"/>
      <c r="BO847" s="259"/>
      <c r="BP847" s="259"/>
      <c r="BQ847" s="259"/>
      <c r="BR847" s="259"/>
      <c r="BS847" s="259"/>
      <c r="BT847" s="259"/>
      <c r="BU847" s="259"/>
      <c r="BV847" s="259"/>
      <c r="BW847" s="259"/>
      <c r="BX847" s="259"/>
      <c r="BY847" s="259"/>
      <c r="BZ847" s="260"/>
      <c r="CA847" s="259"/>
      <c r="CB847" s="259"/>
      <c r="CC847" s="259"/>
      <c r="CD847" s="259"/>
      <c r="CE847" s="259"/>
      <c r="CF847" s="259"/>
      <c r="CG847" s="259"/>
      <c r="CH847" s="259"/>
      <c r="CI847" s="259"/>
      <c r="CJ847" s="259"/>
      <c r="CK847" s="259"/>
      <c r="CL847" s="259"/>
      <c r="CM847" s="259"/>
      <c r="CN847" s="259"/>
      <c r="CO847" s="259"/>
      <c r="CP847" s="259"/>
      <c r="CQ847" s="259"/>
      <c r="CR847" s="259"/>
      <c r="CS847" s="259"/>
      <c r="CT847" s="259"/>
      <c r="CU847" s="259"/>
      <c r="CV847" s="259"/>
      <c r="CW847" s="259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  <c r="BD848" s="30"/>
      <c r="BE848" s="30"/>
      <c r="BF848" s="30"/>
      <c r="BG848" s="30"/>
      <c r="BH848" s="30"/>
      <c r="BI848" s="30"/>
      <c r="BJ848" s="30"/>
      <c r="BK848" s="30"/>
      <c r="BL848" s="30"/>
      <c r="BM848" s="30"/>
      <c r="BN848" s="30"/>
      <c r="BO848" s="259"/>
      <c r="BP848" s="259"/>
      <c r="BQ848" s="259"/>
      <c r="BR848" s="259"/>
      <c r="BS848" s="259"/>
      <c r="BT848" s="259"/>
      <c r="BU848" s="259"/>
      <c r="BV848" s="259"/>
      <c r="BW848" s="259"/>
      <c r="BX848" s="259"/>
      <c r="BY848" s="259"/>
      <c r="BZ848" s="260"/>
      <c r="CA848" s="259"/>
      <c r="CB848" s="259"/>
      <c r="CC848" s="259"/>
      <c r="CD848" s="259"/>
      <c r="CE848" s="259"/>
      <c r="CF848" s="259"/>
      <c r="CG848" s="259"/>
      <c r="CH848" s="259"/>
      <c r="CI848" s="259"/>
      <c r="CJ848" s="259"/>
      <c r="CK848" s="259"/>
      <c r="CL848" s="259"/>
      <c r="CM848" s="259"/>
      <c r="CN848" s="259"/>
      <c r="CO848" s="259"/>
      <c r="CP848" s="259"/>
      <c r="CQ848" s="259"/>
      <c r="CR848" s="259"/>
      <c r="CS848" s="259"/>
      <c r="CT848" s="259"/>
      <c r="CU848" s="259"/>
      <c r="CV848" s="259"/>
      <c r="CW848" s="259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  <c r="BC849" s="30"/>
      <c r="BD849" s="30"/>
      <c r="BE849" s="30"/>
      <c r="BF849" s="30"/>
      <c r="BG849" s="30"/>
      <c r="BH849" s="30"/>
      <c r="BI849" s="30"/>
      <c r="BJ849" s="30"/>
      <c r="BK849" s="30"/>
      <c r="BL849" s="30"/>
      <c r="BM849" s="30"/>
      <c r="BN849" s="30"/>
      <c r="BO849" s="259"/>
      <c r="BP849" s="259"/>
      <c r="BQ849" s="259"/>
      <c r="BR849" s="259"/>
      <c r="BS849" s="259"/>
      <c r="BT849" s="259"/>
      <c r="BU849" s="259"/>
      <c r="BV849" s="259"/>
      <c r="BW849" s="259"/>
      <c r="BX849" s="259"/>
      <c r="BY849" s="259"/>
      <c r="BZ849" s="260"/>
      <c r="CA849" s="259"/>
      <c r="CB849" s="259"/>
      <c r="CC849" s="259"/>
      <c r="CD849" s="259"/>
      <c r="CE849" s="259"/>
      <c r="CF849" s="259"/>
      <c r="CG849" s="259"/>
      <c r="CH849" s="259"/>
      <c r="CI849" s="259"/>
      <c r="CJ849" s="259"/>
      <c r="CK849" s="259"/>
      <c r="CL849" s="259"/>
      <c r="CM849" s="259"/>
      <c r="CN849" s="259"/>
      <c r="CO849" s="259"/>
      <c r="CP849" s="259"/>
      <c r="CQ849" s="259"/>
      <c r="CR849" s="259"/>
      <c r="CS849" s="259"/>
      <c r="CT849" s="259"/>
      <c r="CU849" s="259"/>
      <c r="CV849" s="259"/>
      <c r="CW849" s="259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0"/>
      <c r="BE850" s="30"/>
      <c r="BF850" s="30"/>
      <c r="BG850" s="30"/>
      <c r="BH850" s="30"/>
      <c r="BI850" s="30"/>
      <c r="BJ850" s="30"/>
      <c r="BK850" s="30"/>
      <c r="BL850" s="30"/>
      <c r="BM850" s="30"/>
      <c r="BN850" s="30"/>
      <c r="BO850" s="259"/>
      <c r="BP850" s="259"/>
      <c r="BQ850" s="259"/>
      <c r="BR850" s="259"/>
      <c r="BS850" s="259"/>
      <c r="BT850" s="259"/>
      <c r="BU850" s="259"/>
      <c r="BV850" s="259"/>
      <c r="BW850" s="259"/>
      <c r="BX850" s="259"/>
      <c r="BY850" s="259"/>
      <c r="BZ850" s="260"/>
      <c r="CA850" s="259"/>
      <c r="CB850" s="259"/>
      <c r="CC850" s="259"/>
      <c r="CD850" s="259"/>
      <c r="CE850" s="259"/>
      <c r="CF850" s="259"/>
      <c r="CG850" s="259"/>
      <c r="CH850" s="259"/>
      <c r="CI850" s="259"/>
      <c r="CJ850" s="259"/>
      <c r="CK850" s="259"/>
      <c r="CL850" s="259"/>
      <c r="CM850" s="259"/>
      <c r="CN850" s="259"/>
      <c r="CO850" s="259"/>
      <c r="CP850" s="259"/>
      <c r="CQ850" s="259"/>
      <c r="CR850" s="259"/>
      <c r="CS850" s="259"/>
      <c r="CT850" s="259"/>
      <c r="CU850" s="259"/>
      <c r="CV850" s="259"/>
      <c r="CW850" s="259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30"/>
      <c r="BI851" s="30"/>
      <c r="BJ851" s="30"/>
      <c r="BK851" s="30"/>
      <c r="BL851" s="30"/>
      <c r="BM851" s="30"/>
      <c r="BN851" s="30"/>
      <c r="BO851" s="259"/>
      <c r="BP851" s="259"/>
      <c r="BQ851" s="259"/>
      <c r="BR851" s="259"/>
      <c r="BS851" s="259"/>
      <c r="BT851" s="259"/>
      <c r="BU851" s="259"/>
      <c r="BV851" s="259"/>
      <c r="BW851" s="259"/>
      <c r="BX851" s="259"/>
      <c r="BY851" s="259"/>
      <c r="BZ851" s="260"/>
      <c r="CA851" s="259"/>
      <c r="CB851" s="259"/>
      <c r="CC851" s="259"/>
      <c r="CD851" s="259"/>
      <c r="CE851" s="259"/>
      <c r="CF851" s="259"/>
      <c r="CG851" s="259"/>
      <c r="CH851" s="259"/>
      <c r="CI851" s="259"/>
      <c r="CJ851" s="259"/>
      <c r="CK851" s="259"/>
      <c r="CL851" s="259"/>
      <c r="CM851" s="259"/>
      <c r="CN851" s="259"/>
      <c r="CO851" s="259"/>
      <c r="CP851" s="259"/>
      <c r="CQ851" s="259"/>
      <c r="CR851" s="259"/>
      <c r="CS851" s="259"/>
      <c r="CT851" s="259"/>
      <c r="CU851" s="259"/>
      <c r="CV851" s="259"/>
      <c r="CW851" s="259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  <c r="BD852" s="30"/>
      <c r="BE852" s="30"/>
      <c r="BF852" s="30"/>
      <c r="BG852" s="30"/>
      <c r="BH852" s="30"/>
      <c r="BI852" s="30"/>
      <c r="BJ852" s="30"/>
      <c r="BK852" s="30"/>
      <c r="BL852" s="30"/>
      <c r="BM852" s="30"/>
      <c r="BN852" s="30"/>
      <c r="BO852" s="259"/>
      <c r="BP852" s="259"/>
      <c r="BQ852" s="259"/>
      <c r="BR852" s="259"/>
      <c r="BS852" s="259"/>
      <c r="BT852" s="259"/>
      <c r="BU852" s="259"/>
      <c r="BV852" s="259"/>
      <c r="BW852" s="259"/>
      <c r="BX852" s="259"/>
      <c r="BY852" s="259"/>
      <c r="BZ852" s="260"/>
      <c r="CA852" s="259"/>
      <c r="CB852" s="259"/>
      <c r="CC852" s="259"/>
      <c r="CD852" s="259"/>
      <c r="CE852" s="259"/>
      <c r="CF852" s="259"/>
      <c r="CG852" s="259"/>
      <c r="CH852" s="259"/>
      <c r="CI852" s="259"/>
      <c r="CJ852" s="259"/>
      <c r="CK852" s="259"/>
      <c r="CL852" s="259"/>
      <c r="CM852" s="259"/>
      <c r="CN852" s="259"/>
      <c r="CO852" s="259"/>
      <c r="CP852" s="259"/>
      <c r="CQ852" s="259"/>
      <c r="CR852" s="259"/>
      <c r="CS852" s="259"/>
      <c r="CT852" s="259"/>
      <c r="CU852" s="259"/>
      <c r="CV852" s="259"/>
      <c r="CW852" s="259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  <c r="BC853" s="30"/>
      <c r="BD853" s="30"/>
      <c r="BE853" s="30"/>
      <c r="BF853" s="30"/>
      <c r="BG853" s="30"/>
      <c r="BH853" s="30"/>
      <c r="BI853" s="30"/>
      <c r="BJ853" s="30"/>
      <c r="BK853" s="30"/>
      <c r="BL853" s="30"/>
      <c r="BM853" s="30"/>
      <c r="BN853" s="30"/>
      <c r="BO853" s="259"/>
      <c r="BP853" s="259"/>
      <c r="BQ853" s="259"/>
      <c r="BR853" s="259"/>
      <c r="BS853" s="259"/>
      <c r="BT853" s="259"/>
      <c r="BU853" s="259"/>
      <c r="BV853" s="259"/>
      <c r="BW853" s="259"/>
      <c r="BX853" s="259"/>
      <c r="BY853" s="259"/>
      <c r="BZ853" s="260"/>
      <c r="CA853" s="259"/>
      <c r="CB853" s="259"/>
      <c r="CC853" s="259"/>
      <c r="CD853" s="259"/>
      <c r="CE853" s="259"/>
      <c r="CF853" s="259"/>
      <c r="CG853" s="259"/>
      <c r="CH853" s="259"/>
      <c r="CI853" s="259"/>
      <c r="CJ853" s="259"/>
      <c r="CK853" s="259"/>
      <c r="CL853" s="259"/>
      <c r="CM853" s="259"/>
      <c r="CN853" s="259"/>
      <c r="CO853" s="259"/>
      <c r="CP853" s="259"/>
      <c r="CQ853" s="259"/>
      <c r="CR853" s="259"/>
      <c r="CS853" s="259"/>
      <c r="CT853" s="259"/>
      <c r="CU853" s="259"/>
      <c r="CV853" s="259"/>
      <c r="CW853" s="259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30"/>
      <c r="BI854" s="30"/>
      <c r="BJ854" s="30"/>
      <c r="BK854" s="30"/>
      <c r="BL854" s="30"/>
      <c r="BM854" s="30"/>
      <c r="BN854" s="30"/>
      <c r="BO854" s="259"/>
      <c r="BP854" s="259"/>
      <c r="BQ854" s="259"/>
      <c r="BR854" s="259"/>
      <c r="BS854" s="259"/>
      <c r="BT854" s="259"/>
      <c r="BU854" s="259"/>
      <c r="BV854" s="259"/>
      <c r="BW854" s="259"/>
      <c r="BX854" s="259"/>
      <c r="BY854" s="259"/>
      <c r="BZ854" s="260"/>
      <c r="CA854" s="259"/>
      <c r="CB854" s="259"/>
      <c r="CC854" s="259"/>
      <c r="CD854" s="259"/>
      <c r="CE854" s="259"/>
      <c r="CF854" s="259"/>
      <c r="CG854" s="259"/>
      <c r="CH854" s="259"/>
      <c r="CI854" s="259"/>
      <c r="CJ854" s="259"/>
      <c r="CK854" s="259"/>
      <c r="CL854" s="259"/>
      <c r="CM854" s="259"/>
      <c r="CN854" s="259"/>
      <c r="CO854" s="259"/>
      <c r="CP854" s="259"/>
      <c r="CQ854" s="259"/>
      <c r="CR854" s="259"/>
      <c r="CS854" s="259"/>
      <c r="CT854" s="259"/>
      <c r="CU854" s="259"/>
      <c r="CV854" s="259"/>
      <c r="CW854" s="259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  <c r="BC855" s="30"/>
      <c r="BD855" s="30"/>
      <c r="BE855" s="30"/>
      <c r="BF855" s="30"/>
      <c r="BG855" s="30"/>
      <c r="BH855" s="30"/>
      <c r="BI855" s="30"/>
      <c r="BJ855" s="30"/>
      <c r="BK855" s="30"/>
      <c r="BL855" s="30"/>
      <c r="BM855" s="30"/>
      <c r="BN855" s="30"/>
      <c r="BO855" s="259"/>
      <c r="BP855" s="259"/>
      <c r="BQ855" s="259"/>
      <c r="BR855" s="259"/>
      <c r="BS855" s="259"/>
      <c r="BT855" s="259"/>
      <c r="BU855" s="259"/>
      <c r="BV855" s="259"/>
      <c r="BW855" s="259"/>
      <c r="BX855" s="259"/>
      <c r="BY855" s="259"/>
      <c r="BZ855" s="260"/>
      <c r="CA855" s="259"/>
      <c r="CB855" s="259"/>
      <c r="CC855" s="259"/>
      <c r="CD855" s="259"/>
      <c r="CE855" s="259"/>
      <c r="CF855" s="259"/>
      <c r="CG855" s="259"/>
      <c r="CH855" s="259"/>
      <c r="CI855" s="259"/>
      <c r="CJ855" s="259"/>
      <c r="CK855" s="259"/>
      <c r="CL855" s="259"/>
      <c r="CM855" s="259"/>
      <c r="CN855" s="259"/>
      <c r="CO855" s="259"/>
      <c r="CP855" s="259"/>
      <c r="CQ855" s="259"/>
      <c r="CR855" s="259"/>
      <c r="CS855" s="259"/>
      <c r="CT855" s="259"/>
      <c r="CU855" s="259"/>
      <c r="CV855" s="259"/>
      <c r="CW855" s="259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  <c r="BF856" s="30"/>
      <c r="BG856" s="30"/>
      <c r="BH856" s="30"/>
      <c r="BI856" s="30"/>
      <c r="BJ856" s="30"/>
      <c r="BK856" s="30"/>
      <c r="BL856" s="30"/>
      <c r="BM856" s="30"/>
      <c r="BN856" s="30"/>
      <c r="BO856" s="259"/>
      <c r="BP856" s="259"/>
      <c r="BQ856" s="259"/>
      <c r="BR856" s="259"/>
      <c r="BS856" s="259"/>
      <c r="BT856" s="259"/>
      <c r="BU856" s="259"/>
      <c r="BV856" s="259"/>
      <c r="BW856" s="259"/>
      <c r="BX856" s="259"/>
      <c r="BY856" s="259"/>
      <c r="BZ856" s="260"/>
      <c r="CA856" s="259"/>
      <c r="CB856" s="259"/>
      <c r="CC856" s="259"/>
      <c r="CD856" s="259"/>
      <c r="CE856" s="259"/>
      <c r="CF856" s="259"/>
      <c r="CG856" s="259"/>
      <c r="CH856" s="259"/>
      <c r="CI856" s="259"/>
      <c r="CJ856" s="259"/>
      <c r="CK856" s="259"/>
      <c r="CL856" s="259"/>
      <c r="CM856" s="259"/>
      <c r="CN856" s="259"/>
      <c r="CO856" s="259"/>
      <c r="CP856" s="259"/>
      <c r="CQ856" s="259"/>
      <c r="CR856" s="259"/>
      <c r="CS856" s="259"/>
      <c r="CT856" s="259"/>
      <c r="CU856" s="259"/>
      <c r="CV856" s="259"/>
      <c r="CW856" s="259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30"/>
      <c r="BI857" s="30"/>
      <c r="BJ857" s="30"/>
      <c r="BK857" s="30"/>
      <c r="BL857" s="30"/>
      <c r="BM857" s="30"/>
      <c r="BN857" s="30"/>
      <c r="BO857" s="259"/>
      <c r="BP857" s="259"/>
      <c r="BQ857" s="259"/>
      <c r="BR857" s="259"/>
      <c r="BS857" s="259"/>
      <c r="BT857" s="259"/>
      <c r="BU857" s="259"/>
      <c r="BV857" s="259"/>
      <c r="BW857" s="259"/>
      <c r="BX857" s="259"/>
      <c r="BY857" s="259"/>
      <c r="BZ857" s="260"/>
      <c r="CA857" s="259"/>
      <c r="CB857" s="259"/>
      <c r="CC857" s="259"/>
      <c r="CD857" s="259"/>
      <c r="CE857" s="259"/>
      <c r="CF857" s="259"/>
      <c r="CG857" s="259"/>
      <c r="CH857" s="259"/>
      <c r="CI857" s="259"/>
      <c r="CJ857" s="259"/>
      <c r="CK857" s="259"/>
      <c r="CL857" s="259"/>
      <c r="CM857" s="259"/>
      <c r="CN857" s="259"/>
      <c r="CO857" s="259"/>
      <c r="CP857" s="259"/>
      <c r="CQ857" s="259"/>
      <c r="CR857" s="259"/>
      <c r="CS857" s="259"/>
      <c r="CT857" s="259"/>
      <c r="CU857" s="259"/>
      <c r="CV857" s="259"/>
      <c r="CW857" s="259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  <c r="BD858" s="30"/>
      <c r="BE858" s="30"/>
      <c r="BF858" s="30"/>
      <c r="BG858" s="30"/>
      <c r="BH858" s="30"/>
      <c r="BI858" s="30"/>
      <c r="BJ858" s="30"/>
      <c r="BK858" s="30"/>
      <c r="BL858" s="30"/>
      <c r="BM858" s="30"/>
      <c r="BN858" s="30"/>
      <c r="BO858" s="259"/>
      <c r="BP858" s="259"/>
      <c r="BQ858" s="259"/>
      <c r="BR858" s="259"/>
      <c r="BS858" s="259"/>
      <c r="BT858" s="259"/>
      <c r="BU858" s="259"/>
      <c r="BV858" s="259"/>
      <c r="BW858" s="259"/>
      <c r="BX858" s="259"/>
      <c r="BY858" s="259"/>
      <c r="BZ858" s="260"/>
      <c r="CA858" s="259"/>
      <c r="CB858" s="259"/>
      <c r="CC858" s="259"/>
      <c r="CD858" s="259"/>
      <c r="CE858" s="259"/>
      <c r="CF858" s="259"/>
      <c r="CG858" s="259"/>
      <c r="CH858" s="259"/>
      <c r="CI858" s="259"/>
      <c r="CJ858" s="259"/>
      <c r="CK858" s="259"/>
      <c r="CL858" s="259"/>
      <c r="CM858" s="259"/>
      <c r="CN858" s="259"/>
      <c r="CO858" s="259"/>
      <c r="CP858" s="259"/>
      <c r="CQ858" s="259"/>
      <c r="CR858" s="259"/>
      <c r="CS858" s="259"/>
      <c r="CT858" s="259"/>
      <c r="CU858" s="259"/>
      <c r="CV858" s="259"/>
      <c r="CW858" s="259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  <c r="BC859" s="30"/>
      <c r="BD859" s="30"/>
      <c r="BE859" s="30"/>
      <c r="BF859" s="30"/>
      <c r="BG859" s="30"/>
      <c r="BH859" s="30"/>
      <c r="BI859" s="30"/>
      <c r="BJ859" s="30"/>
      <c r="BK859" s="30"/>
      <c r="BL859" s="30"/>
      <c r="BM859" s="30"/>
      <c r="BN859" s="30"/>
      <c r="BO859" s="259"/>
      <c r="BP859" s="259"/>
      <c r="BQ859" s="259"/>
      <c r="BR859" s="259"/>
      <c r="BS859" s="259"/>
      <c r="BT859" s="259"/>
      <c r="BU859" s="259"/>
      <c r="BV859" s="259"/>
      <c r="BW859" s="259"/>
      <c r="BX859" s="259"/>
      <c r="BY859" s="259"/>
      <c r="BZ859" s="260"/>
      <c r="CA859" s="259"/>
      <c r="CB859" s="259"/>
      <c r="CC859" s="259"/>
      <c r="CD859" s="259"/>
      <c r="CE859" s="259"/>
      <c r="CF859" s="259"/>
      <c r="CG859" s="259"/>
      <c r="CH859" s="259"/>
      <c r="CI859" s="259"/>
      <c r="CJ859" s="259"/>
      <c r="CK859" s="259"/>
      <c r="CL859" s="259"/>
      <c r="CM859" s="259"/>
      <c r="CN859" s="259"/>
      <c r="CO859" s="259"/>
      <c r="CP859" s="259"/>
      <c r="CQ859" s="259"/>
      <c r="CR859" s="259"/>
      <c r="CS859" s="259"/>
      <c r="CT859" s="259"/>
      <c r="CU859" s="259"/>
      <c r="CV859" s="259"/>
      <c r="CW859" s="259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30"/>
      <c r="BI860" s="30"/>
      <c r="BJ860" s="30"/>
      <c r="BK860" s="30"/>
      <c r="BL860" s="30"/>
      <c r="BM860" s="30"/>
      <c r="BN860" s="30"/>
      <c r="BO860" s="259"/>
      <c r="BP860" s="259"/>
      <c r="BQ860" s="259"/>
      <c r="BR860" s="259"/>
      <c r="BS860" s="259"/>
      <c r="BT860" s="259"/>
      <c r="BU860" s="259"/>
      <c r="BV860" s="259"/>
      <c r="BW860" s="259"/>
      <c r="BX860" s="259"/>
      <c r="BY860" s="259"/>
      <c r="BZ860" s="260"/>
      <c r="CA860" s="259"/>
      <c r="CB860" s="259"/>
      <c r="CC860" s="259"/>
      <c r="CD860" s="259"/>
      <c r="CE860" s="259"/>
      <c r="CF860" s="259"/>
      <c r="CG860" s="259"/>
      <c r="CH860" s="259"/>
      <c r="CI860" s="259"/>
      <c r="CJ860" s="259"/>
      <c r="CK860" s="259"/>
      <c r="CL860" s="259"/>
      <c r="CM860" s="259"/>
      <c r="CN860" s="259"/>
      <c r="CO860" s="259"/>
      <c r="CP860" s="259"/>
      <c r="CQ860" s="259"/>
      <c r="CR860" s="259"/>
      <c r="CS860" s="259"/>
      <c r="CT860" s="259"/>
      <c r="CU860" s="259"/>
      <c r="CV860" s="259"/>
      <c r="CW860" s="259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  <c r="BC861" s="30"/>
      <c r="BD861" s="30"/>
      <c r="BE861" s="30"/>
      <c r="BF861" s="30"/>
      <c r="BG861" s="30"/>
      <c r="BH861" s="30"/>
      <c r="BI861" s="30"/>
      <c r="BJ861" s="30"/>
      <c r="BK861" s="30"/>
      <c r="BL861" s="30"/>
      <c r="BM861" s="30"/>
      <c r="BN861" s="30"/>
      <c r="BO861" s="259"/>
      <c r="BP861" s="259"/>
      <c r="BQ861" s="259"/>
      <c r="BR861" s="259"/>
      <c r="BS861" s="259"/>
      <c r="BT861" s="259"/>
      <c r="BU861" s="259"/>
      <c r="BV861" s="259"/>
      <c r="BW861" s="259"/>
      <c r="BX861" s="259"/>
      <c r="BY861" s="259"/>
      <c r="BZ861" s="260"/>
      <c r="CA861" s="259"/>
      <c r="CB861" s="259"/>
      <c r="CC861" s="259"/>
      <c r="CD861" s="259"/>
      <c r="CE861" s="259"/>
      <c r="CF861" s="259"/>
      <c r="CG861" s="259"/>
      <c r="CH861" s="259"/>
      <c r="CI861" s="259"/>
      <c r="CJ861" s="259"/>
      <c r="CK861" s="259"/>
      <c r="CL861" s="259"/>
      <c r="CM861" s="259"/>
      <c r="CN861" s="259"/>
      <c r="CO861" s="259"/>
      <c r="CP861" s="259"/>
      <c r="CQ861" s="259"/>
      <c r="CR861" s="259"/>
      <c r="CS861" s="259"/>
      <c r="CT861" s="259"/>
      <c r="CU861" s="259"/>
      <c r="CV861" s="259"/>
      <c r="CW861" s="259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0"/>
      <c r="BE862" s="30"/>
      <c r="BF862" s="30"/>
      <c r="BG862" s="30"/>
      <c r="BH862" s="30"/>
      <c r="BI862" s="30"/>
      <c r="BJ862" s="30"/>
      <c r="BK862" s="30"/>
      <c r="BL862" s="30"/>
      <c r="BM862" s="30"/>
      <c r="BN862" s="30"/>
      <c r="BO862" s="259"/>
      <c r="BP862" s="259"/>
      <c r="BQ862" s="259"/>
      <c r="BR862" s="259"/>
      <c r="BS862" s="259"/>
      <c r="BT862" s="259"/>
      <c r="BU862" s="259"/>
      <c r="BV862" s="259"/>
      <c r="BW862" s="259"/>
      <c r="BX862" s="259"/>
      <c r="BY862" s="259"/>
      <c r="BZ862" s="260"/>
      <c r="CA862" s="259"/>
      <c r="CB862" s="259"/>
      <c r="CC862" s="259"/>
      <c r="CD862" s="259"/>
      <c r="CE862" s="259"/>
      <c r="CF862" s="259"/>
      <c r="CG862" s="259"/>
      <c r="CH862" s="259"/>
      <c r="CI862" s="259"/>
      <c r="CJ862" s="259"/>
      <c r="CK862" s="259"/>
      <c r="CL862" s="259"/>
      <c r="CM862" s="259"/>
      <c r="CN862" s="259"/>
      <c r="CO862" s="259"/>
      <c r="CP862" s="259"/>
      <c r="CQ862" s="259"/>
      <c r="CR862" s="259"/>
      <c r="CS862" s="259"/>
      <c r="CT862" s="259"/>
      <c r="CU862" s="259"/>
      <c r="CV862" s="259"/>
      <c r="CW862" s="259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  <c r="BC863" s="30"/>
      <c r="BD863" s="30"/>
      <c r="BE863" s="30"/>
      <c r="BF863" s="30"/>
      <c r="BG863" s="30"/>
      <c r="BH863" s="30"/>
      <c r="BI863" s="30"/>
      <c r="BJ863" s="30"/>
      <c r="BK863" s="30"/>
      <c r="BL863" s="30"/>
      <c r="BM863" s="30"/>
      <c r="BN863" s="30"/>
      <c r="BO863" s="259"/>
      <c r="BP863" s="259"/>
      <c r="BQ863" s="259"/>
      <c r="BR863" s="259"/>
      <c r="BS863" s="259"/>
      <c r="BT863" s="259"/>
      <c r="BU863" s="259"/>
      <c r="BV863" s="259"/>
      <c r="BW863" s="259"/>
      <c r="BX863" s="259"/>
      <c r="BY863" s="259"/>
      <c r="BZ863" s="260"/>
      <c r="CA863" s="259"/>
      <c r="CB863" s="259"/>
      <c r="CC863" s="259"/>
      <c r="CD863" s="259"/>
      <c r="CE863" s="259"/>
      <c r="CF863" s="259"/>
      <c r="CG863" s="259"/>
      <c r="CH863" s="259"/>
      <c r="CI863" s="259"/>
      <c r="CJ863" s="259"/>
      <c r="CK863" s="259"/>
      <c r="CL863" s="259"/>
      <c r="CM863" s="259"/>
      <c r="CN863" s="259"/>
      <c r="CO863" s="259"/>
      <c r="CP863" s="259"/>
      <c r="CQ863" s="259"/>
      <c r="CR863" s="259"/>
      <c r="CS863" s="259"/>
      <c r="CT863" s="259"/>
      <c r="CU863" s="259"/>
      <c r="CV863" s="259"/>
      <c r="CW863" s="259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  <c r="BD864" s="30"/>
      <c r="BE864" s="30"/>
      <c r="BF864" s="30"/>
      <c r="BG864" s="30"/>
      <c r="BH864" s="30"/>
      <c r="BI864" s="30"/>
      <c r="BJ864" s="30"/>
      <c r="BK864" s="30"/>
      <c r="BL864" s="30"/>
      <c r="BM864" s="30"/>
      <c r="BN864" s="30"/>
      <c r="BO864" s="259"/>
      <c r="BP864" s="259"/>
      <c r="BQ864" s="259"/>
      <c r="BR864" s="259"/>
      <c r="BS864" s="259"/>
      <c r="BT864" s="259"/>
      <c r="BU864" s="259"/>
      <c r="BV864" s="259"/>
      <c r="BW864" s="259"/>
      <c r="BX864" s="259"/>
      <c r="BY864" s="259"/>
      <c r="BZ864" s="260"/>
      <c r="CA864" s="259"/>
      <c r="CB864" s="259"/>
      <c r="CC864" s="259"/>
      <c r="CD864" s="259"/>
      <c r="CE864" s="259"/>
      <c r="CF864" s="259"/>
      <c r="CG864" s="259"/>
      <c r="CH864" s="259"/>
      <c r="CI864" s="259"/>
      <c r="CJ864" s="259"/>
      <c r="CK864" s="259"/>
      <c r="CL864" s="259"/>
      <c r="CM864" s="259"/>
      <c r="CN864" s="259"/>
      <c r="CO864" s="259"/>
      <c r="CP864" s="259"/>
      <c r="CQ864" s="259"/>
      <c r="CR864" s="259"/>
      <c r="CS864" s="259"/>
      <c r="CT864" s="259"/>
      <c r="CU864" s="259"/>
      <c r="CV864" s="259"/>
      <c r="CW864" s="259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  <c r="BI865" s="30"/>
      <c r="BJ865" s="30"/>
      <c r="BK865" s="30"/>
      <c r="BL865" s="30"/>
      <c r="BM865" s="30"/>
      <c r="BN865" s="30"/>
      <c r="BO865" s="259"/>
      <c r="BP865" s="259"/>
      <c r="BQ865" s="259"/>
      <c r="BR865" s="259"/>
      <c r="BS865" s="259"/>
      <c r="BT865" s="259"/>
      <c r="BU865" s="259"/>
      <c r="BV865" s="259"/>
      <c r="BW865" s="259"/>
      <c r="BX865" s="259"/>
      <c r="BY865" s="259"/>
      <c r="BZ865" s="260"/>
      <c r="CA865" s="259"/>
      <c r="CB865" s="259"/>
      <c r="CC865" s="259"/>
      <c r="CD865" s="259"/>
      <c r="CE865" s="259"/>
      <c r="CF865" s="259"/>
      <c r="CG865" s="259"/>
      <c r="CH865" s="259"/>
      <c r="CI865" s="259"/>
      <c r="CJ865" s="259"/>
      <c r="CK865" s="259"/>
      <c r="CL865" s="259"/>
      <c r="CM865" s="259"/>
      <c r="CN865" s="259"/>
      <c r="CO865" s="259"/>
      <c r="CP865" s="259"/>
      <c r="CQ865" s="259"/>
      <c r="CR865" s="259"/>
      <c r="CS865" s="259"/>
      <c r="CT865" s="259"/>
      <c r="CU865" s="259"/>
      <c r="CV865" s="259"/>
      <c r="CW865" s="259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  <c r="BD866" s="30"/>
      <c r="BE866" s="30"/>
      <c r="BF866" s="30"/>
      <c r="BG866" s="30"/>
      <c r="BH866" s="30"/>
      <c r="BI866" s="30"/>
      <c r="BJ866" s="30"/>
      <c r="BK866" s="30"/>
      <c r="BL866" s="30"/>
      <c r="BM866" s="30"/>
      <c r="BN866" s="30"/>
      <c r="BO866" s="259"/>
      <c r="BP866" s="259"/>
      <c r="BQ866" s="259"/>
      <c r="BR866" s="259"/>
      <c r="BS866" s="259"/>
      <c r="BT866" s="259"/>
      <c r="BU866" s="259"/>
      <c r="BV866" s="259"/>
      <c r="BW866" s="259"/>
      <c r="BX866" s="259"/>
      <c r="BY866" s="259"/>
      <c r="BZ866" s="260"/>
      <c r="CA866" s="259"/>
      <c r="CB866" s="259"/>
      <c r="CC866" s="259"/>
      <c r="CD866" s="259"/>
      <c r="CE866" s="259"/>
      <c r="CF866" s="259"/>
      <c r="CG866" s="259"/>
      <c r="CH866" s="259"/>
      <c r="CI866" s="259"/>
      <c r="CJ866" s="259"/>
      <c r="CK866" s="259"/>
      <c r="CL866" s="259"/>
      <c r="CM866" s="259"/>
      <c r="CN866" s="259"/>
      <c r="CO866" s="259"/>
      <c r="CP866" s="259"/>
      <c r="CQ866" s="259"/>
      <c r="CR866" s="259"/>
      <c r="CS866" s="259"/>
      <c r="CT866" s="259"/>
      <c r="CU866" s="259"/>
      <c r="CV866" s="259"/>
      <c r="CW866" s="259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  <c r="BC867" s="30"/>
      <c r="BD867" s="30"/>
      <c r="BE867" s="30"/>
      <c r="BF867" s="30"/>
      <c r="BG867" s="30"/>
      <c r="BH867" s="30"/>
      <c r="BI867" s="30"/>
      <c r="BJ867" s="30"/>
      <c r="BK867" s="30"/>
      <c r="BL867" s="30"/>
      <c r="BM867" s="30"/>
      <c r="BN867" s="30"/>
      <c r="BO867" s="259"/>
      <c r="BP867" s="259"/>
      <c r="BQ867" s="259"/>
      <c r="BR867" s="259"/>
      <c r="BS867" s="259"/>
      <c r="BT867" s="259"/>
      <c r="BU867" s="259"/>
      <c r="BV867" s="259"/>
      <c r="BW867" s="259"/>
      <c r="BX867" s="259"/>
      <c r="BY867" s="259"/>
      <c r="BZ867" s="260"/>
      <c r="CA867" s="259"/>
      <c r="CB867" s="259"/>
      <c r="CC867" s="259"/>
      <c r="CD867" s="259"/>
      <c r="CE867" s="259"/>
      <c r="CF867" s="259"/>
      <c r="CG867" s="259"/>
      <c r="CH867" s="259"/>
      <c r="CI867" s="259"/>
      <c r="CJ867" s="259"/>
      <c r="CK867" s="259"/>
      <c r="CL867" s="259"/>
      <c r="CM867" s="259"/>
      <c r="CN867" s="259"/>
      <c r="CO867" s="259"/>
      <c r="CP867" s="259"/>
      <c r="CQ867" s="259"/>
      <c r="CR867" s="259"/>
      <c r="CS867" s="259"/>
      <c r="CT867" s="259"/>
      <c r="CU867" s="259"/>
      <c r="CV867" s="259"/>
      <c r="CW867" s="259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  <c r="BF868" s="30"/>
      <c r="BG868" s="30"/>
      <c r="BH868" s="30"/>
      <c r="BI868" s="30"/>
      <c r="BJ868" s="30"/>
      <c r="BK868" s="30"/>
      <c r="BL868" s="30"/>
      <c r="BM868" s="30"/>
      <c r="BN868" s="30"/>
      <c r="BO868" s="259"/>
      <c r="BP868" s="259"/>
      <c r="BQ868" s="259"/>
      <c r="BR868" s="259"/>
      <c r="BS868" s="259"/>
      <c r="BT868" s="259"/>
      <c r="BU868" s="259"/>
      <c r="BV868" s="259"/>
      <c r="BW868" s="259"/>
      <c r="BX868" s="259"/>
      <c r="BY868" s="259"/>
      <c r="BZ868" s="260"/>
      <c r="CA868" s="259"/>
      <c r="CB868" s="259"/>
      <c r="CC868" s="259"/>
      <c r="CD868" s="259"/>
      <c r="CE868" s="259"/>
      <c r="CF868" s="259"/>
      <c r="CG868" s="259"/>
      <c r="CH868" s="259"/>
      <c r="CI868" s="259"/>
      <c r="CJ868" s="259"/>
      <c r="CK868" s="259"/>
      <c r="CL868" s="259"/>
      <c r="CM868" s="259"/>
      <c r="CN868" s="259"/>
      <c r="CO868" s="259"/>
      <c r="CP868" s="259"/>
      <c r="CQ868" s="259"/>
      <c r="CR868" s="259"/>
      <c r="CS868" s="259"/>
      <c r="CT868" s="259"/>
      <c r="CU868" s="259"/>
      <c r="CV868" s="259"/>
      <c r="CW868" s="259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  <c r="BC869" s="30"/>
      <c r="BD869" s="30"/>
      <c r="BE869" s="30"/>
      <c r="BF869" s="30"/>
      <c r="BG869" s="30"/>
      <c r="BH869" s="30"/>
      <c r="BI869" s="30"/>
      <c r="BJ869" s="30"/>
      <c r="BK869" s="30"/>
      <c r="BL869" s="30"/>
      <c r="BM869" s="30"/>
      <c r="BN869" s="30"/>
      <c r="BO869" s="259"/>
      <c r="BP869" s="259"/>
      <c r="BQ869" s="259"/>
      <c r="BR869" s="259"/>
      <c r="BS869" s="259"/>
      <c r="BT869" s="259"/>
      <c r="BU869" s="259"/>
      <c r="BV869" s="259"/>
      <c r="BW869" s="259"/>
      <c r="BX869" s="259"/>
      <c r="BY869" s="259"/>
      <c r="BZ869" s="260"/>
      <c r="CA869" s="259"/>
      <c r="CB869" s="259"/>
      <c r="CC869" s="259"/>
      <c r="CD869" s="259"/>
      <c r="CE869" s="259"/>
      <c r="CF869" s="259"/>
      <c r="CG869" s="259"/>
      <c r="CH869" s="259"/>
      <c r="CI869" s="259"/>
      <c r="CJ869" s="259"/>
      <c r="CK869" s="259"/>
      <c r="CL869" s="259"/>
      <c r="CM869" s="259"/>
      <c r="CN869" s="259"/>
      <c r="CO869" s="259"/>
      <c r="CP869" s="259"/>
      <c r="CQ869" s="259"/>
      <c r="CR869" s="259"/>
      <c r="CS869" s="259"/>
      <c r="CT869" s="259"/>
      <c r="CU869" s="259"/>
      <c r="CV869" s="259"/>
      <c r="CW869" s="259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30"/>
      <c r="BI870" s="30"/>
      <c r="BJ870" s="30"/>
      <c r="BK870" s="30"/>
      <c r="BL870" s="30"/>
      <c r="BM870" s="30"/>
      <c r="BN870" s="30"/>
      <c r="BO870" s="259"/>
      <c r="BP870" s="259"/>
      <c r="BQ870" s="259"/>
      <c r="BR870" s="259"/>
      <c r="BS870" s="259"/>
      <c r="BT870" s="259"/>
      <c r="BU870" s="259"/>
      <c r="BV870" s="259"/>
      <c r="BW870" s="259"/>
      <c r="BX870" s="259"/>
      <c r="BY870" s="259"/>
      <c r="BZ870" s="260"/>
      <c r="CA870" s="259"/>
      <c r="CB870" s="259"/>
      <c r="CC870" s="259"/>
      <c r="CD870" s="259"/>
      <c r="CE870" s="259"/>
      <c r="CF870" s="259"/>
      <c r="CG870" s="259"/>
      <c r="CH870" s="259"/>
      <c r="CI870" s="259"/>
      <c r="CJ870" s="259"/>
      <c r="CK870" s="259"/>
      <c r="CL870" s="259"/>
      <c r="CM870" s="259"/>
      <c r="CN870" s="259"/>
      <c r="CO870" s="259"/>
      <c r="CP870" s="259"/>
      <c r="CQ870" s="259"/>
      <c r="CR870" s="259"/>
      <c r="CS870" s="259"/>
      <c r="CT870" s="259"/>
      <c r="CU870" s="259"/>
      <c r="CV870" s="259"/>
      <c r="CW870" s="259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  <c r="BD871" s="30"/>
      <c r="BE871" s="30"/>
      <c r="BF871" s="30"/>
      <c r="BG871" s="30"/>
      <c r="BH871" s="30"/>
      <c r="BI871" s="30"/>
      <c r="BJ871" s="30"/>
      <c r="BK871" s="30"/>
      <c r="BL871" s="30"/>
      <c r="BM871" s="30"/>
      <c r="BN871" s="30"/>
      <c r="BO871" s="259"/>
      <c r="BP871" s="259"/>
      <c r="BQ871" s="259"/>
      <c r="BR871" s="259"/>
      <c r="BS871" s="259"/>
      <c r="BT871" s="259"/>
      <c r="BU871" s="259"/>
      <c r="BV871" s="259"/>
      <c r="BW871" s="259"/>
      <c r="BX871" s="259"/>
      <c r="BY871" s="259"/>
      <c r="BZ871" s="260"/>
      <c r="CA871" s="259"/>
      <c r="CB871" s="259"/>
      <c r="CC871" s="259"/>
      <c r="CD871" s="259"/>
      <c r="CE871" s="259"/>
      <c r="CF871" s="259"/>
      <c r="CG871" s="259"/>
      <c r="CH871" s="259"/>
      <c r="CI871" s="259"/>
      <c r="CJ871" s="259"/>
      <c r="CK871" s="259"/>
      <c r="CL871" s="259"/>
      <c r="CM871" s="259"/>
      <c r="CN871" s="259"/>
      <c r="CO871" s="259"/>
      <c r="CP871" s="259"/>
      <c r="CQ871" s="259"/>
      <c r="CR871" s="259"/>
      <c r="CS871" s="259"/>
      <c r="CT871" s="259"/>
      <c r="CU871" s="259"/>
      <c r="CV871" s="259"/>
      <c r="CW871" s="259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  <c r="BD872" s="30"/>
      <c r="BE872" s="30"/>
      <c r="BF872" s="30"/>
      <c r="BG872" s="30"/>
      <c r="BH872" s="30"/>
      <c r="BI872" s="30"/>
      <c r="BJ872" s="30"/>
      <c r="BK872" s="30"/>
      <c r="BL872" s="30"/>
      <c r="BM872" s="30"/>
      <c r="BN872" s="30"/>
      <c r="BO872" s="259"/>
      <c r="BP872" s="259"/>
      <c r="BQ872" s="259"/>
      <c r="BR872" s="259"/>
      <c r="BS872" s="259"/>
      <c r="BT872" s="259"/>
      <c r="BU872" s="259"/>
      <c r="BV872" s="259"/>
      <c r="BW872" s="259"/>
      <c r="BX872" s="259"/>
      <c r="BY872" s="259"/>
      <c r="BZ872" s="260"/>
      <c r="CA872" s="259"/>
      <c r="CB872" s="259"/>
      <c r="CC872" s="259"/>
      <c r="CD872" s="259"/>
      <c r="CE872" s="259"/>
      <c r="CF872" s="259"/>
      <c r="CG872" s="259"/>
      <c r="CH872" s="259"/>
      <c r="CI872" s="259"/>
      <c r="CJ872" s="259"/>
      <c r="CK872" s="259"/>
      <c r="CL872" s="259"/>
      <c r="CM872" s="259"/>
      <c r="CN872" s="259"/>
      <c r="CO872" s="259"/>
      <c r="CP872" s="259"/>
      <c r="CQ872" s="259"/>
      <c r="CR872" s="259"/>
      <c r="CS872" s="259"/>
      <c r="CT872" s="259"/>
      <c r="CU872" s="259"/>
      <c r="CV872" s="259"/>
      <c r="CW872" s="259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  <c r="BC873" s="30"/>
      <c r="BD873" s="30"/>
      <c r="BE873" s="30"/>
      <c r="BF873" s="30"/>
      <c r="BG873" s="30"/>
      <c r="BH873" s="30"/>
      <c r="BI873" s="30"/>
      <c r="BJ873" s="30"/>
      <c r="BK873" s="30"/>
      <c r="BL873" s="30"/>
      <c r="BM873" s="30"/>
      <c r="BN873" s="30"/>
      <c r="BO873" s="259"/>
      <c r="BP873" s="259"/>
      <c r="BQ873" s="259"/>
      <c r="BR873" s="259"/>
      <c r="BS873" s="259"/>
      <c r="BT873" s="259"/>
      <c r="BU873" s="259"/>
      <c r="BV873" s="259"/>
      <c r="BW873" s="259"/>
      <c r="BX873" s="259"/>
      <c r="BY873" s="259"/>
      <c r="BZ873" s="260"/>
      <c r="CA873" s="259"/>
      <c r="CB873" s="259"/>
      <c r="CC873" s="259"/>
      <c r="CD873" s="259"/>
      <c r="CE873" s="259"/>
      <c r="CF873" s="259"/>
      <c r="CG873" s="259"/>
      <c r="CH873" s="259"/>
      <c r="CI873" s="259"/>
      <c r="CJ873" s="259"/>
      <c r="CK873" s="259"/>
      <c r="CL873" s="259"/>
      <c r="CM873" s="259"/>
      <c r="CN873" s="259"/>
      <c r="CO873" s="259"/>
      <c r="CP873" s="259"/>
      <c r="CQ873" s="259"/>
      <c r="CR873" s="259"/>
      <c r="CS873" s="259"/>
      <c r="CT873" s="259"/>
      <c r="CU873" s="259"/>
      <c r="CV873" s="259"/>
      <c r="CW873" s="259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30"/>
      <c r="BI874" s="30"/>
      <c r="BJ874" s="30"/>
      <c r="BK874" s="30"/>
      <c r="BL874" s="30"/>
      <c r="BM874" s="30"/>
      <c r="BN874" s="30"/>
      <c r="BO874" s="259"/>
      <c r="BP874" s="259"/>
      <c r="BQ874" s="259"/>
      <c r="BR874" s="259"/>
      <c r="BS874" s="259"/>
      <c r="BT874" s="259"/>
      <c r="BU874" s="259"/>
      <c r="BV874" s="259"/>
      <c r="BW874" s="259"/>
      <c r="BX874" s="259"/>
      <c r="BY874" s="259"/>
      <c r="BZ874" s="260"/>
      <c r="CA874" s="259"/>
      <c r="CB874" s="259"/>
      <c r="CC874" s="259"/>
      <c r="CD874" s="259"/>
      <c r="CE874" s="259"/>
      <c r="CF874" s="259"/>
      <c r="CG874" s="259"/>
      <c r="CH874" s="259"/>
      <c r="CI874" s="259"/>
      <c r="CJ874" s="259"/>
      <c r="CK874" s="259"/>
      <c r="CL874" s="259"/>
      <c r="CM874" s="259"/>
      <c r="CN874" s="259"/>
      <c r="CO874" s="259"/>
      <c r="CP874" s="259"/>
      <c r="CQ874" s="259"/>
      <c r="CR874" s="259"/>
      <c r="CS874" s="259"/>
      <c r="CT874" s="259"/>
      <c r="CU874" s="259"/>
      <c r="CV874" s="259"/>
      <c r="CW874" s="259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  <c r="BC875" s="30"/>
      <c r="BD875" s="30"/>
      <c r="BE875" s="30"/>
      <c r="BF875" s="30"/>
      <c r="BG875" s="30"/>
      <c r="BH875" s="30"/>
      <c r="BI875" s="30"/>
      <c r="BJ875" s="30"/>
      <c r="BK875" s="30"/>
      <c r="BL875" s="30"/>
      <c r="BM875" s="30"/>
      <c r="BN875" s="30"/>
      <c r="BO875" s="259"/>
      <c r="BP875" s="259"/>
      <c r="BQ875" s="259"/>
      <c r="BR875" s="259"/>
      <c r="BS875" s="259"/>
      <c r="BT875" s="259"/>
      <c r="BU875" s="259"/>
      <c r="BV875" s="259"/>
      <c r="BW875" s="259"/>
      <c r="BX875" s="259"/>
      <c r="BY875" s="259"/>
      <c r="BZ875" s="260"/>
      <c r="CA875" s="259"/>
      <c r="CB875" s="259"/>
      <c r="CC875" s="259"/>
      <c r="CD875" s="259"/>
      <c r="CE875" s="259"/>
      <c r="CF875" s="259"/>
      <c r="CG875" s="259"/>
      <c r="CH875" s="259"/>
      <c r="CI875" s="259"/>
      <c r="CJ875" s="259"/>
      <c r="CK875" s="259"/>
      <c r="CL875" s="259"/>
      <c r="CM875" s="259"/>
      <c r="CN875" s="259"/>
      <c r="CO875" s="259"/>
      <c r="CP875" s="259"/>
      <c r="CQ875" s="259"/>
      <c r="CR875" s="259"/>
      <c r="CS875" s="259"/>
      <c r="CT875" s="259"/>
      <c r="CU875" s="259"/>
      <c r="CV875" s="259"/>
      <c r="CW875" s="259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  <c r="BD876" s="30"/>
      <c r="BE876" s="30"/>
      <c r="BF876" s="30"/>
      <c r="BG876" s="30"/>
      <c r="BH876" s="30"/>
      <c r="BI876" s="30"/>
      <c r="BJ876" s="30"/>
      <c r="BK876" s="30"/>
      <c r="BL876" s="30"/>
      <c r="BM876" s="30"/>
      <c r="BN876" s="30"/>
      <c r="BO876" s="259"/>
      <c r="BP876" s="259"/>
      <c r="BQ876" s="259"/>
      <c r="BR876" s="259"/>
      <c r="BS876" s="259"/>
      <c r="BT876" s="259"/>
      <c r="BU876" s="259"/>
      <c r="BV876" s="259"/>
      <c r="BW876" s="259"/>
      <c r="BX876" s="259"/>
      <c r="BY876" s="259"/>
      <c r="BZ876" s="260"/>
      <c r="CA876" s="259"/>
      <c r="CB876" s="259"/>
      <c r="CC876" s="259"/>
      <c r="CD876" s="259"/>
      <c r="CE876" s="259"/>
      <c r="CF876" s="259"/>
      <c r="CG876" s="259"/>
      <c r="CH876" s="259"/>
      <c r="CI876" s="259"/>
      <c r="CJ876" s="259"/>
      <c r="CK876" s="259"/>
      <c r="CL876" s="259"/>
      <c r="CM876" s="259"/>
      <c r="CN876" s="259"/>
      <c r="CO876" s="259"/>
      <c r="CP876" s="259"/>
      <c r="CQ876" s="259"/>
      <c r="CR876" s="259"/>
      <c r="CS876" s="259"/>
      <c r="CT876" s="259"/>
      <c r="CU876" s="259"/>
      <c r="CV876" s="259"/>
      <c r="CW876" s="259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30"/>
      <c r="BI877" s="30"/>
      <c r="BJ877" s="30"/>
      <c r="BK877" s="30"/>
      <c r="BL877" s="30"/>
      <c r="BM877" s="30"/>
      <c r="BN877" s="30"/>
      <c r="BO877" s="259"/>
      <c r="BP877" s="259"/>
      <c r="BQ877" s="259"/>
      <c r="BR877" s="259"/>
      <c r="BS877" s="259"/>
      <c r="BT877" s="259"/>
      <c r="BU877" s="259"/>
      <c r="BV877" s="259"/>
      <c r="BW877" s="259"/>
      <c r="BX877" s="259"/>
      <c r="BY877" s="259"/>
      <c r="BZ877" s="260"/>
      <c r="CA877" s="259"/>
      <c r="CB877" s="259"/>
      <c r="CC877" s="259"/>
      <c r="CD877" s="259"/>
      <c r="CE877" s="259"/>
      <c r="CF877" s="259"/>
      <c r="CG877" s="259"/>
      <c r="CH877" s="259"/>
      <c r="CI877" s="259"/>
      <c r="CJ877" s="259"/>
      <c r="CK877" s="259"/>
      <c r="CL877" s="259"/>
      <c r="CM877" s="259"/>
      <c r="CN877" s="259"/>
      <c r="CO877" s="259"/>
      <c r="CP877" s="259"/>
      <c r="CQ877" s="259"/>
      <c r="CR877" s="259"/>
      <c r="CS877" s="259"/>
      <c r="CT877" s="259"/>
      <c r="CU877" s="259"/>
      <c r="CV877" s="259"/>
      <c r="CW877" s="259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  <c r="BD878" s="30"/>
      <c r="BE878" s="30"/>
      <c r="BF878" s="30"/>
      <c r="BG878" s="30"/>
      <c r="BH878" s="30"/>
      <c r="BI878" s="30"/>
      <c r="BJ878" s="30"/>
      <c r="BK878" s="30"/>
      <c r="BL878" s="30"/>
      <c r="BM878" s="30"/>
      <c r="BN878" s="30"/>
      <c r="BO878" s="259"/>
      <c r="BP878" s="259"/>
      <c r="BQ878" s="259"/>
      <c r="BR878" s="259"/>
      <c r="BS878" s="259"/>
      <c r="BT878" s="259"/>
      <c r="BU878" s="259"/>
      <c r="BV878" s="259"/>
      <c r="BW878" s="259"/>
      <c r="BX878" s="259"/>
      <c r="BY878" s="259"/>
      <c r="BZ878" s="260"/>
      <c r="CA878" s="259"/>
      <c r="CB878" s="259"/>
      <c r="CC878" s="259"/>
      <c r="CD878" s="259"/>
      <c r="CE878" s="259"/>
      <c r="CF878" s="259"/>
      <c r="CG878" s="259"/>
      <c r="CH878" s="259"/>
      <c r="CI878" s="259"/>
      <c r="CJ878" s="259"/>
      <c r="CK878" s="259"/>
      <c r="CL878" s="259"/>
      <c r="CM878" s="259"/>
      <c r="CN878" s="259"/>
      <c r="CO878" s="259"/>
      <c r="CP878" s="259"/>
      <c r="CQ878" s="259"/>
      <c r="CR878" s="259"/>
      <c r="CS878" s="259"/>
      <c r="CT878" s="259"/>
      <c r="CU878" s="259"/>
      <c r="CV878" s="259"/>
      <c r="CW878" s="259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  <c r="BC879" s="30"/>
      <c r="BD879" s="30"/>
      <c r="BE879" s="30"/>
      <c r="BF879" s="30"/>
      <c r="BG879" s="30"/>
      <c r="BH879" s="30"/>
      <c r="BI879" s="30"/>
      <c r="BJ879" s="30"/>
      <c r="BK879" s="30"/>
      <c r="BL879" s="30"/>
      <c r="BM879" s="30"/>
      <c r="BN879" s="30"/>
      <c r="BO879" s="259"/>
      <c r="BP879" s="259"/>
      <c r="BQ879" s="259"/>
      <c r="BR879" s="259"/>
      <c r="BS879" s="259"/>
      <c r="BT879" s="259"/>
      <c r="BU879" s="259"/>
      <c r="BV879" s="259"/>
      <c r="BW879" s="259"/>
      <c r="BX879" s="259"/>
      <c r="BY879" s="259"/>
      <c r="BZ879" s="260"/>
      <c r="CA879" s="259"/>
      <c r="CB879" s="259"/>
      <c r="CC879" s="259"/>
      <c r="CD879" s="259"/>
      <c r="CE879" s="259"/>
      <c r="CF879" s="259"/>
      <c r="CG879" s="259"/>
      <c r="CH879" s="259"/>
      <c r="CI879" s="259"/>
      <c r="CJ879" s="259"/>
      <c r="CK879" s="259"/>
      <c r="CL879" s="259"/>
      <c r="CM879" s="259"/>
      <c r="CN879" s="259"/>
      <c r="CO879" s="259"/>
      <c r="CP879" s="259"/>
      <c r="CQ879" s="259"/>
      <c r="CR879" s="259"/>
      <c r="CS879" s="259"/>
      <c r="CT879" s="259"/>
      <c r="CU879" s="259"/>
      <c r="CV879" s="259"/>
      <c r="CW879" s="259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30"/>
      <c r="BI880" s="30"/>
      <c r="BJ880" s="30"/>
      <c r="BK880" s="30"/>
      <c r="BL880" s="30"/>
      <c r="BM880" s="30"/>
      <c r="BN880" s="30"/>
      <c r="BO880" s="259"/>
      <c r="BP880" s="259"/>
      <c r="BQ880" s="259"/>
      <c r="BR880" s="259"/>
      <c r="BS880" s="259"/>
      <c r="BT880" s="259"/>
      <c r="BU880" s="259"/>
      <c r="BV880" s="259"/>
      <c r="BW880" s="259"/>
      <c r="BX880" s="259"/>
      <c r="BY880" s="259"/>
      <c r="BZ880" s="260"/>
      <c r="CA880" s="259"/>
      <c r="CB880" s="259"/>
      <c r="CC880" s="259"/>
      <c r="CD880" s="259"/>
      <c r="CE880" s="259"/>
      <c r="CF880" s="259"/>
      <c r="CG880" s="259"/>
      <c r="CH880" s="259"/>
      <c r="CI880" s="259"/>
      <c r="CJ880" s="259"/>
      <c r="CK880" s="259"/>
      <c r="CL880" s="259"/>
      <c r="CM880" s="259"/>
      <c r="CN880" s="259"/>
      <c r="CO880" s="259"/>
      <c r="CP880" s="259"/>
      <c r="CQ880" s="259"/>
      <c r="CR880" s="259"/>
      <c r="CS880" s="259"/>
      <c r="CT880" s="259"/>
      <c r="CU880" s="259"/>
      <c r="CV880" s="259"/>
      <c r="CW880" s="259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  <c r="BC881" s="30"/>
      <c r="BD881" s="30"/>
      <c r="BE881" s="30"/>
      <c r="BF881" s="30"/>
      <c r="BG881" s="30"/>
      <c r="BH881" s="30"/>
      <c r="BI881" s="30"/>
      <c r="BJ881" s="30"/>
      <c r="BK881" s="30"/>
      <c r="BL881" s="30"/>
      <c r="BM881" s="30"/>
      <c r="BN881" s="30"/>
      <c r="BO881" s="259"/>
      <c r="BP881" s="259"/>
      <c r="BQ881" s="259"/>
      <c r="BR881" s="259"/>
      <c r="BS881" s="259"/>
      <c r="BT881" s="259"/>
      <c r="BU881" s="259"/>
      <c r="BV881" s="259"/>
      <c r="BW881" s="259"/>
      <c r="BX881" s="259"/>
      <c r="BY881" s="259"/>
      <c r="BZ881" s="260"/>
      <c r="CA881" s="259"/>
      <c r="CB881" s="259"/>
      <c r="CC881" s="259"/>
      <c r="CD881" s="259"/>
      <c r="CE881" s="259"/>
      <c r="CF881" s="259"/>
      <c r="CG881" s="259"/>
      <c r="CH881" s="259"/>
      <c r="CI881" s="259"/>
      <c r="CJ881" s="259"/>
      <c r="CK881" s="259"/>
      <c r="CL881" s="259"/>
      <c r="CM881" s="259"/>
      <c r="CN881" s="259"/>
      <c r="CO881" s="259"/>
      <c r="CP881" s="259"/>
      <c r="CQ881" s="259"/>
      <c r="CR881" s="259"/>
      <c r="CS881" s="259"/>
      <c r="CT881" s="259"/>
      <c r="CU881" s="259"/>
      <c r="CV881" s="259"/>
      <c r="CW881" s="259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  <c r="BD882" s="30"/>
      <c r="BE882" s="30"/>
      <c r="BF882" s="30"/>
      <c r="BG882" s="30"/>
      <c r="BH882" s="30"/>
      <c r="BI882" s="30"/>
      <c r="BJ882" s="30"/>
      <c r="BK882" s="30"/>
      <c r="BL882" s="30"/>
      <c r="BM882" s="30"/>
      <c r="BN882" s="30"/>
      <c r="BO882" s="259"/>
      <c r="BP882" s="259"/>
      <c r="BQ882" s="259"/>
      <c r="BR882" s="259"/>
      <c r="BS882" s="259"/>
      <c r="BT882" s="259"/>
      <c r="BU882" s="259"/>
      <c r="BV882" s="259"/>
      <c r="BW882" s="259"/>
      <c r="BX882" s="259"/>
      <c r="BY882" s="259"/>
      <c r="BZ882" s="260"/>
      <c r="CA882" s="259"/>
      <c r="CB882" s="259"/>
      <c r="CC882" s="259"/>
      <c r="CD882" s="259"/>
      <c r="CE882" s="259"/>
      <c r="CF882" s="259"/>
      <c r="CG882" s="259"/>
      <c r="CH882" s="259"/>
      <c r="CI882" s="259"/>
      <c r="CJ882" s="259"/>
      <c r="CK882" s="259"/>
      <c r="CL882" s="259"/>
      <c r="CM882" s="259"/>
      <c r="CN882" s="259"/>
      <c r="CO882" s="259"/>
      <c r="CP882" s="259"/>
      <c r="CQ882" s="259"/>
      <c r="CR882" s="259"/>
      <c r="CS882" s="259"/>
      <c r="CT882" s="259"/>
      <c r="CU882" s="259"/>
      <c r="CV882" s="259"/>
      <c r="CW882" s="259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30"/>
      <c r="BI883" s="30"/>
      <c r="BJ883" s="30"/>
      <c r="BK883" s="30"/>
      <c r="BL883" s="30"/>
      <c r="BM883" s="30"/>
      <c r="BN883" s="30"/>
      <c r="BO883" s="259"/>
      <c r="BP883" s="259"/>
      <c r="BQ883" s="259"/>
      <c r="BR883" s="259"/>
      <c r="BS883" s="259"/>
      <c r="BT883" s="259"/>
      <c r="BU883" s="259"/>
      <c r="BV883" s="259"/>
      <c r="BW883" s="259"/>
      <c r="BX883" s="259"/>
      <c r="BY883" s="259"/>
      <c r="BZ883" s="260"/>
      <c r="CA883" s="259"/>
      <c r="CB883" s="259"/>
      <c r="CC883" s="259"/>
      <c r="CD883" s="259"/>
      <c r="CE883" s="259"/>
      <c r="CF883" s="259"/>
      <c r="CG883" s="259"/>
      <c r="CH883" s="259"/>
      <c r="CI883" s="259"/>
      <c r="CJ883" s="259"/>
      <c r="CK883" s="259"/>
      <c r="CL883" s="259"/>
      <c r="CM883" s="259"/>
      <c r="CN883" s="259"/>
      <c r="CO883" s="259"/>
      <c r="CP883" s="259"/>
      <c r="CQ883" s="259"/>
      <c r="CR883" s="259"/>
      <c r="CS883" s="259"/>
      <c r="CT883" s="259"/>
      <c r="CU883" s="259"/>
      <c r="CV883" s="259"/>
      <c r="CW883" s="259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  <c r="BD884" s="30"/>
      <c r="BE884" s="30"/>
      <c r="BF884" s="30"/>
      <c r="BG884" s="30"/>
      <c r="BH884" s="30"/>
      <c r="BI884" s="30"/>
      <c r="BJ884" s="30"/>
      <c r="BK884" s="30"/>
      <c r="BL884" s="30"/>
      <c r="BM884" s="30"/>
      <c r="BN884" s="30"/>
      <c r="BO884" s="259"/>
      <c r="BP884" s="259"/>
      <c r="BQ884" s="259"/>
      <c r="BR884" s="259"/>
      <c r="BS884" s="259"/>
      <c r="BT884" s="259"/>
      <c r="BU884" s="259"/>
      <c r="BV884" s="259"/>
      <c r="BW884" s="259"/>
      <c r="BX884" s="259"/>
      <c r="BY884" s="259"/>
      <c r="BZ884" s="260"/>
      <c r="CA884" s="259"/>
      <c r="CB884" s="259"/>
      <c r="CC884" s="259"/>
      <c r="CD884" s="259"/>
      <c r="CE884" s="259"/>
      <c r="CF884" s="259"/>
      <c r="CG884" s="259"/>
      <c r="CH884" s="259"/>
      <c r="CI884" s="259"/>
      <c r="CJ884" s="259"/>
      <c r="CK884" s="259"/>
      <c r="CL884" s="259"/>
      <c r="CM884" s="259"/>
      <c r="CN884" s="259"/>
      <c r="CO884" s="259"/>
      <c r="CP884" s="259"/>
      <c r="CQ884" s="259"/>
      <c r="CR884" s="259"/>
      <c r="CS884" s="259"/>
      <c r="CT884" s="259"/>
      <c r="CU884" s="259"/>
      <c r="CV884" s="259"/>
      <c r="CW884" s="259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  <c r="BC885" s="30"/>
      <c r="BD885" s="30"/>
      <c r="BE885" s="30"/>
      <c r="BF885" s="30"/>
      <c r="BG885" s="30"/>
      <c r="BH885" s="30"/>
      <c r="BI885" s="30"/>
      <c r="BJ885" s="30"/>
      <c r="BK885" s="30"/>
      <c r="BL885" s="30"/>
      <c r="BM885" s="30"/>
      <c r="BN885" s="30"/>
      <c r="BO885" s="259"/>
      <c r="BP885" s="259"/>
      <c r="BQ885" s="259"/>
      <c r="BR885" s="259"/>
      <c r="BS885" s="259"/>
      <c r="BT885" s="259"/>
      <c r="BU885" s="259"/>
      <c r="BV885" s="259"/>
      <c r="BW885" s="259"/>
      <c r="BX885" s="259"/>
      <c r="BY885" s="259"/>
      <c r="BZ885" s="260"/>
      <c r="CA885" s="259"/>
      <c r="CB885" s="259"/>
      <c r="CC885" s="259"/>
      <c r="CD885" s="259"/>
      <c r="CE885" s="259"/>
      <c r="CF885" s="259"/>
      <c r="CG885" s="259"/>
      <c r="CH885" s="259"/>
      <c r="CI885" s="259"/>
      <c r="CJ885" s="259"/>
      <c r="CK885" s="259"/>
      <c r="CL885" s="259"/>
      <c r="CM885" s="259"/>
      <c r="CN885" s="259"/>
      <c r="CO885" s="259"/>
      <c r="CP885" s="259"/>
      <c r="CQ885" s="259"/>
      <c r="CR885" s="259"/>
      <c r="CS885" s="259"/>
      <c r="CT885" s="259"/>
      <c r="CU885" s="259"/>
      <c r="CV885" s="259"/>
      <c r="CW885" s="259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30"/>
      <c r="BI886" s="30"/>
      <c r="BJ886" s="30"/>
      <c r="BK886" s="30"/>
      <c r="BL886" s="30"/>
      <c r="BM886" s="30"/>
      <c r="BN886" s="30"/>
      <c r="BO886" s="259"/>
      <c r="BP886" s="259"/>
      <c r="BQ886" s="259"/>
      <c r="BR886" s="259"/>
      <c r="BS886" s="259"/>
      <c r="BT886" s="259"/>
      <c r="BU886" s="259"/>
      <c r="BV886" s="259"/>
      <c r="BW886" s="259"/>
      <c r="BX886" s="259"/>
      <c r="BY886" s="259"/>
      <c r="BZ886" s="260"/>
      <c r="CA886" s="259"/>
      <c r="CB886" s="259"/>
      <c r="CC886" s="259"/>
      <c r="CD886" s="259"/>
      <c r="CE886" s="259"/>
      <c r="CF886" s="259"/>
      <c r="CG886" s="259"/>
      <c r="CH886" s="259"/>
      <c r="CI886" s="259"/>
      <c r="CJ886" s="259"/>
      <c r="CK886" s="259"/>
      <c r="CL886" s="259"/>
      <c r="CM886" s="259"/>
      <c r="CN886" s="259"/>
      <c r="CO886" s="259"/>
      <c r="CP886" s="259"/>
      <c r="CQ886" s="259"/>
      <c r="CR886" s="259"/>
      <c r="CS886" s="259"/>
      <c r="CT886" s="259"/>
      <c r="CU886" s="259"/>
      <c r="CV886" s="259"/>
      <c r="CW886" s="259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  <c r="BC887" s="30"/>
      <c r="BD887" s="30"/>
      <c r="BE887" s="30"/>
      <c r="BF887" s="30"/>
      <c r="BG887" s="30"/>
      <c r="BH887" s="30"/>
      <c r="BI887" s="30"/>
      <c r="BJ887" s="30"/>
      <c r="BK887" s="30"/>
      <c r="BL887" s="30"/>
      <c r="BM887" s="30"/>
      <c r="BN887" s="30"/>
      <c r="BO887" s="259"/>
      <c r="BP887" s="259"/>
      <c r="BQ887" s="259"/>
      <c r="BR887" s="259"/>
      <c r="BS887" s="259"/>
      <c r="BT887" s="259"/>
      <c r="BU887" s="259"/>
      <c r="BV887" s="259"/>
      <c r="BW887" s="259"/>
      <c r="BX887" s="259"/>
      <c r="BY887" s="259"/>
      <c r="BZ887" s="260"/>
      <c r="CA887" s="259"/>
      <c r="CB887" s="259"/>
      <c r="CC887" s="259"/>
      <c r="CD887" s="259"/>
      <c r="CE887" s="259"/>
      <c r="CF887" s="259"/>
      <c r="CG887" s="259"/>
      <c r="CH887" s="259"/>
      <c r="CI887" s="259"/>
      <c r="CJ887" s="259"/>
      <c r="CK887" s="259"/>
      <c r="CL887" s="259"/>
      <c r="CM887" s="259"/>
      <c r="CN887" s="259"/>
      <c r="CO887" s="259"/>
      <c r="CP887" s="259"/>
      <c r="CQ887" s="259"/>
      <c r="CR887" s="259"/>
      <c r="CS887" s="259"/>
      <c r="CT887" s="259"/>
      <c r="CU887" s="259"/>
      <c r="CV887" s="259"/>
      <c r="CW887" s="259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  <c r="BD888" s="30"/>
      <c r="BE888" s="30"/>
      <c r="BF888" s="30"/>
      <c r="BG888" s="30"/>
      <c r="BH888" s="30"/>
      <c r="BI888" s="30"/>
      <c r="BJ888" s="30"/>
      <c r="BK888" s="30"/>
      <c r="BL888" s="30"/>
      <c r="BM888" s="30"/>
      <c r="BN888" s="30"/>
      <c r="BO888" s="259"/>
      <c r="BP888" s="259"/>
      <c r="BQ888" s="259"/>
      <c r="BR888" s="259"/>
      <c r="BS888" s="259"/>
      <c r="BT888" s="259"/>
      <c r="BU888" s="259"/>
      <c r="BV888" s="259"/>
      <c r="BW888" s="259"/>
      <c r="BX888" s="259"/>
      <c r="BY888" s="259"/>
      <c r="BZ888" s="260"/>
      <c r="CA888" s="259"/>
      <c r="CB888" s="259"/>
      <c r="CC888" s="259"/>
      <c r="CD888" s="259"/>
      <c r="CE888" s="259"/>
      <c r="CF888" s="259"/>
      <c r="CG888" s="259"/>
      <c r="CH888" s="259"/>
      <c r="CI888" s="259"/>
      <c r="CJ888" s="259"/>
      <c r="CK888" s="259"/>
      <c r="CL888" s="259"/>
      <c r="CM888" s="259"/>
      <c r="CN888" s="259"/>
      <c r="CO888" s="259"/>
      <c r="CP888" s="259"/>
      <c r="CQ888" s="259"/>
      <c r="CR888" s="259"/>
      <c r="CS888" s="259"/>
      <c r="CT888" s="259"/>
      <c r="CU888" s="259"/>
      <c r="CV888" s="259"/>
      <c r="CW888" s="259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30"/>
      <c r="BI889" s="30"/>
      <c r="BJ889" s="30"/>
      <c r="BK889" s="30"/>
      <c r="BL889" s="30"/>
      <c r="BM889" s="30"/>
      <c r="BN889" s="30"/>
      <c r="BO889" s="259"/>
      <c r="BP889" s="259"/>
      <c r="BQ889" s="259"/>
      <c r="BR889" s="259"/>
      <c r="BS889" s="259"/>
      <c r="BT889" s="259"/>
      <c r="BU889" s="259"/>
      <c r="BV889" s="259"/>
      <c r="BW889" s="259"/>
      <c r="BX889" s="259"/>
      <c r="BY889" s="259"/>
      <c r="BZ889" s="260"/>
      <c r="CA889" s="259"/>
      <c r="CB889" s="259"/>
      <c r="CC889" s="259"/>
      <c r="CD889" s="259"/>
      <c r="CE889" s="259"/>
      <c r="CF889" s="259"/>
      <c r="CG889" s="259"/>
      <c r="CH889" s="259"/>
      <c r="CI889" s="259"/>
      <c r="CJ889" s="259"/>
      <c r="CK889" s="259"/>
      <c r="CL889" s="259"/>
      <c r="CM889" s="259"/>
      <c r="CN889" s="259"/>
      <c r="CO889" s="259"/>
      <c r="CP889" s="259"/>
      <c r="CQ889" s="259"/>
      <c r="CR889" s="259"/>
      <c r="CS889" s="259"/>
      <c r="CT889" s="259"/>
      <c r="CU889" s="259"/>
      <c r="CV889" s="259"/>
      <c r="CW889" s="259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  <c r="BD890" s="30"/>
      <c r="BE890" s="30"/>
      <c r="BF890" s="30"/>
      <c r="BG890" s="30"/>
      <c r="BH890" s="30"/>
      <c r="BI890" s="30"/>
      <c r="BJ890" s="30"/>
      <c r="BK890" s="30"/>
      <c r="BL890" s="30"/>
      <c r="BM890" s="30"/>
      <c r="BN890" s="30"/>
      <c r="BO890" s="259"/>
      <c r="BP890" s="259"/>
      <c r="BQ890" s="259"/>
      <c r="BR890" s="259"/>
      <c r="BS890" s="259"/>
      <c r="BT890" s="259"/>
      <c r="BU890" s="259"/>
      <c r="BV890" s="259"/>
      <c r="BW890" s="259"/>
      <c r="BX890" s="259"/>
      <c r="BY890" s="259"/>
      <c r="BZ890" s="260"/>
      <c r="CA890" s="259"/>
      <c r="CB890" s="259"/>
      <c r="CC890" s="259"/>
      <c r="CD890" s="259"/>
      <c r="CE890" s="259"/>
      <c r="CF890" s="259"/>
      <c r="CG890" s="259"/>
      <c r="CH890" s="259"/>
      <c r="CI890" s="259"/>
      <c r="CJ890" s="259"/>
      <c r="CK890" s="259"/>
      <c r="CL890" s="259"/>
      <c r="CM890" s="259"/>
      <c r="CN890" s="259"/>
      <c r="CO890" s="259"/>
      <c r="CP890" s="259"/>
      <c r="CQ890" s="259"/>
      <c r="CR890" s="259"/>
      <c r="CS890" s="259"/>
      <c r="CT890" s="259"/>
      <c r="CU890" s="259"/>
      <c r="CV890" s="259"/>
      <c r="CW890" s="259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  <c r="BC891" s="30"/>
      <c r="BD891" s="30"/>
      <c r="BE891" s="30"/>
      <c r="BF891" s="30"/>
      <c r="BG891" s="30"/>
      <c r="BH891" s="30"/>
      <c r="BI891" s="30"/>
      <c r="BJ891" s="30"/>
      <c r="BK891" s="30"/>
      <c r="BL891" s="30"/>
      <c r="BM891" s="30"/>
      <c r="BN891" s="30"/>
      <c r="BO891" s="259"/>
      <c r="BP891" s="259"/>
      <c r="BQ891" s="259"/>
      <c r="BR891" s="259"/>
      <c r="BS891" s="259"/>
      <c r="BT891" s="259"/>
      <c r="BU891" s="259"/>
      <c r="BV891" s="259"/>
      <c r="BW891" s="259"/>
      <c r="BX891" s="259"/>
      <c r="BY891" s="259"/>
      <c r="BZ891" s="260"/>
      <c r="CA891" s="259"/>
      <c r="CB891" s="259"/>
      <c r="CC891" s="259"/>
      <c r="CD891" s="259"/>
      <c r="CE891" s="259"/>
      <c r="CF891" s="259"/>
      <c r="CG891" s="259"/>
      <c r="CH891" s="259"/>
      <c r="CI891" s="259"/>
      <c r="CJ891" s="259"/>
      <c r="CK891" s="259"/>
      <c r="CL891" s="259"/>
      <c r="CM891" s="259"/>
      <c r="CN891" s="259"/>
      <c r="CO891" s="259"/>
      <c r="CP891" s="259"/>
      <c r="CQ891" s="259"/>
      <c r="CR891" s="259"/>
      <c r="CS891" s="259"/>
      <c r="CT891" s="259"/>
      <c r="CU891" s="259"/>
      <c r="CV891" s="259"/>
      <c r="CW891" s="259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  <c r="BF892" s="30"/>
      <c r="BG892" s="30"/>
      <c r="BH892" s="30"/>
      <c r="BI892" s="30"/>
      <c r="BJ892" s="30"/>
      <c r="BK892" s="30"/>
      <c r="BL892" s="30"/>
      <c r="BM892" s="30"/>
      <c r="BN892" s="30"/>
      <c r="BO892" s="259"/>
      <c r="BP892" s="259"/>
      <c r="BQ892" s="259"/>
      <c r="BR892" s="259"/>
      <c r="BS892" s="259"/>
      <c r="BT892" s="259"/>
      <c r="BU892" s="259"/>
      <c r="BV892" s="259"/>
      <c r="BW892" s="259"/>
      <c r="BX892" s="259"/>
      <c r="BY892" s="259"/>
      <c r="BZ892" s="260"/>
      <c r="CA892" s="259"/>
      <c r="CB892" s="259"/>
      <c r="CC892" s="259"/>
      <c r="CD892" s="259"/>
      <c r="CE892" s="259"/>
      <c r="CF892" s="259"/>
      <c r="CG892" s="259"/>
      <c r="CH892" s="259"/>
      <c r="CI892" s="259"/>
      <c r="CJ892" s="259"/>
      <c r="CK892" s="259"/>
      <c r="CL892" s="259"/>
      <c r="CM892" s="259"/>
      <c r="CN892" s="259"/>
      <c r="CO892" s="259"/>
      <c r="CP892" s="259"/>
      <c r="CQ892" s="259"/>
      <c r="CR892" s="259"/>
      <c r="CS892" s="259"/>
      <c r="CT892" s="259"/>
      <c r="CU892" s="259"/>
      <c r="CV892" s="259"/>
      <c r="CW892" s="259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30"/>
      <c r="BL893" s="30"/>
      <c r="BM893" s="30"/>
      <c r="BN893" s="30"/>
      <c r="BO893" s="259"/>
      <c r="BP893" s="259"/>
      <c r="BQ893" s="259"/>
      <c r="BR893" s="259"/>
      <c r="BS893" s="259"/>
      <c r="BT893" s="259"/>
      <c r="BU893" s="259"/>
      <c r="BV893" s="259"/>
      <c r="BW893" s="259"/>
      <c r="BX893" s="259"/>
      <c r="BY893" s="259"/>
      <c r="BZ893" s="260"/>
      <c r="CA893" s="259"/>
      <c r="CB893" s="259"/>
      <c r="CC893" s="259"/>
      <c r="CD893" s="259"/>
      <c r="CE893" s="259"/>
      <c r="CF893" s="259"/>
      <c r="CG893" s="259"/>
      <c r="CH893" s="259"/>
      <c r="CI893" s="259"/>
      <c r="CJ893" s="259"/>
      <c r="CK893" s="259"/>
      <c r="CL893" s="259"/>
      <c r="CM893" s="259"/>
      <c r="CN893" s="259"/>
      <c r="CO893" s="259"/>
      <c r="CP893" s="259"/>
      <c r="CQ893" s="259"/>
      <c r="CR893" s="259"/>
      <c r="CS893" s="259"/>
      <c r="CT893" s="259"/>
      <c r="CU893" s="259"/>
      <c r="CV893" s="259"/>
      <c r="CW893" s="259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  <c r="BD894" s="30"/>
      <c r="BE894" s="30"/>
      <c r="BF894" s="30"/>
      <c r="BG894" s="30"/>
      <c r="BH894" s="30"/>
      <c r="BI894" s="30"/>
      <c r="BJ894" s="30"/>
      <c r="BK894" s="30"/>
      <c r="BL894" s="30"/>
      <c r="BM894" s="30"/>
      <c r="BN894" s="30"/>
      <c r="BO894" s="259"/>
      <c r="BP894" s="259"/>
      <c r="BQ894" s="259"/>
      <c r="BR894" s="259"/>
      <c r="BS894" s="259"/>
      <c r="BT894" s="259"/>
      <c r="BU894" s="259"/>
      <c r="BV894" s="259"/>
      <c r="BW894" s="259"/>
      <c r="BX894" s="259"/>
      <c r="BY894" s="259"/>
      <c r="BZ894" s="260"/>
      <c r="CA894" s="259"/>
      <c r="CB894" s="259"/>
      <c r="CC894" s="259"/>
      <c r="CD894" s="259"/>
      <c r="CE894" s="259"/>
      <c r="CF894" s="259"/>
      <c r="CG894" s="259"/>
      <c r="CH894" s="259"/>
      <c r="CI894" s="259"/>
      <c r="CJ894" s="259"/>
      <c r="CK894" s="259"/>
      <c r="CL894" s="259"/>
      <c r="CM894" s="259"/>
      <c r="CN894" s="259"/>
      <c r="CO894" s="259"/>
      <c r="CP894" s="259"/>
      <c r="CQ894" s="259"/>
      <c r="CR894" s="259"/>
      <c r="CS894" s="259"/>
      <c r="CT894" s="259"/>
      <c r="CU894" s="259"/>
      <c r="CV894" s="259"/>
      <c r="CW894" s="259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  <c r="BC895" s="30"/>
      <c r="BD895" s="30"/>
      <c r="BE895" s="30"/>
      <c r="BF895" s="30"/>
      <c r="BG895" s="30"/>
      <c r="BH895" s="30"/>
      <c r="BI895" s="30"/>
      <c r="BJ895" s="30"/>
      <c r="BK895" s="30"/>
      <c r="BL895" s="30"/>
      <c r="BM895" s="30"/>
      <c r="BN895" s="30"/>
      <c r="BO895" s="259"/>
      <c r="BP895" s="259"/>
      <c r="BQ895" s="259"/>
      <c r="BR895" s="259"/>
      <c r="BS895" s="259"/>
      <c r="BT895" s="259"/>
      <c r="BU895" s="259"/>
      <c r="BV895" s="259"/>
      <c r="BW895" s="259"/>
      <c r="BX895" s="259"/>
      <c r="BY895" s="259"/>
      <c r="BZ895" s="260"/>
      <c r="CA895" s="259"/>
      <c r="CB895" s="259"/>
      <c r="CC895" s="259"/>
      <c r="CD895" s="259"/>
      <c r="CE895" s="259"/>
      <c r="CF895" s="259"/>
      <c r="CG895" s="259"/>
      <c r="CH895" s="259"/>
      <c r="CI895" s="259"/>
      <c r="CJ895" s="259"/>
      <c r="CK895" s="259"/>
      <c r="CL895" s="259"/>
      <c r="CM895" s="259"/>
      <c r="CN895" s="259"/>
      <c r="CO895" s="259"/>
      <c r="CP895" s="259"/>
      <c r="CQ895" s="259"/>
      <c r="CR895" s="259"/>
      <c r="CS895" s="259"/>
      <c r="CT895" s="259"/>
      <c r="CU895" s="259"/>
      <c r="CV895" s="259"/>
      <c r="CW895" s="259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  <c r="BD896" s="30"/>
      <c r="BE896" s="30"/>
      <c r="BF896" s="30"/>
      <c r="BG896" s="30"/>
      <c r="BH896" s="30"/>
      <c r="BI896" s="30"/>
      <c r="BJ896" s="30"/>
      <c r="BK896" s="30"/>
      <c r="BL896" s="30"/>
      <c r="BM896" s="30"/>
      <c r="BN896" s="30"/>
      <c r="BO896" s="259"/>
      <c r="BP896" s="259"/>
      <c r="BQ896" s="259"/>
      <c r="BR896" s="259"/>
      <c r="BS896" s="259"/>
      <c r="BT896" s="259"/>
      <c r="BU896" s="259"/>
      <c r="BV896" s="259"/>
      <c r="BW896" s="259"/>
      <c r="BX896" s="259"/>
      <c r="BY896" s="259"/>
      <c r="BZ896" s="260"/>
      <c r="CA896" s="259"/>
      <c r="CB896" s="259"/>
      <c r="CC896" s="259"/>
      <c r="CD896" s="259"/>
      <c r="CE896" s="259"/>
      <c r="CF896" s="259"/>
      <c r="CG896" s="259"/>
      <c r="CH896" s="259"/>
      <c r="CI896" s="259"/>
      <c r="CJ896" s="259"/>
      <c r="CK896" s="259"/>
      <c r="CL896" s="259"/>
      <c r="CM896" s="259"/>
      <c r="CN896" s="259"/>
      <c r="CO896" s="259"/>
      <c r="CP896" s="259"/>
      <c r="CQ896" s="259"/>
      <c r="CR896" s="259"/>
      <c r="CS896" s="259"/>
      <c r="CT896" s="259"/>
      <c r="CU896" s="259"/>
      <c r="CV896" s="259"/>
      <c r="CW896" s="259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  <c r="BC897" s="30"/>
      <c r="BD897" s="30"/>
      <c r="BE897" s="30"/>
      <c r="BF897" s="30"/>
      <c r="BG897" s="30"/>
      <c r="BH897" s="30"/>
      <c r="BI897" s="30"/>
      <c r="BJ897" s="30"/>
      <c r="BK897" s="30"/>
      <c r="BL897" s="30"/>
      <c r="BM897" s="30"/>
      <c r="BN897" s="30"/>
      <c r="BO897" s="259"/>
      <c r="BP897" s="259"/>
      <c r="BQ897" s="259"/>
      <c r="BR897" s="259"/>
      <c r="BS897" s="259"/>
      <c r="BT897" s="259"/>
      <c r="BU897" s="259"/>
      <c r="BV897" s="259"/>
      <c r="BW897" s="259"/>
      <c r="BX897" s="259"/>
      <c r="BY897" s="259"/>
      <c r="BZ897" s="260"/>
      <c r="CA897" s="259"/>
      <c r="CB897" s="259"/>
      <c r="CC897" s="259"/>
      <c r="CD897" s="259"/>
      <c r="CE897" s="259"/>
      <c r="CF897" s="259"/>
      <c r="CG897" s="259"/>
      <c r="CH897" s="259"/>
      <c r="CI897" s="259"/>
      <c r="CJ897" s="259"/>
      <c r="CK897" s="259"/>
      <c r="CL897" s="259"/>
      <c r="CM897" s="259"/>
      <c r="CN897" s="259"/>
      <c r="CO897" s="259"/>
      <c r="CP897" s="259"/>
      <c r="CQ897" s="259"/>
      <c r="CR897" s="259"/>
      <c r="CS897" s="259"/>
      <c r="CT897" s="259"/>
      <c r="CU897" s="259"/>
      <c r="CV897" s="259"/>
      <c r="CW897" s="259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  <c r="BD898" s="30"/>
      <c r="BE898" s="30"/>
      <c r="BF898" s="30"/>
      <c r="BG898" s="30"/>
      <c r="BH898" s="30"/>
      <c r="BI898" s="30"/>
      <c r="BJ898" s="30"/>
      <c r="BK898" s="30"/>
      <c r="BL898" s="30"/>
      <c r="BM898" s="30"/>
      <c r="BN898" s="30"/>
      <c r="BO898" s="259"/>
      <c r="BP898" s="259"/>
      <c r="BQ898" s="259"/>
      <c r="BR898" s="259"/>
      <c r="BS898" s="259"/>
      <c r="BT898" s="259"/>
      <c r="BU898" s="259"/>
      <c r="BV898" s="259"/>
      <c r="BW898" s="259"/>
      <c r="BX898" s="259"/>
      <c r="BY898" s="259"/>
      <c r="BZ898" s="260"/>
      <c r="CA898" s="259"/>
      <c r="CB898" s="259"/>
      <c r="CC898" s="259"/>
      <c r="CD898" s="259"/>
      <c r="CE898" s="259"/>
      <c r="CF898" s="259"/>
      <c r="CG898" s="259"/>
      <c r="CH898" s="259"/>
      <c r="CI898" s="259"/>
      <c r="CJ898" s="259"/>
      <c r="CK898" s="259"/>
      <c r="CL898" s="259"/>
      <c r="CM898" s="259"/>
      <c r="CN898" s="259"/>
      <c r="CO898" s="259"/>
      <c r="CP898" s="259"/>
      <c r="CQ898" s="259"/>
      <c r="CR898" s="259"/>
      <c r="CS898" s="259"/>
      <c r="CT898" s="259"/>
      <c r="CU898" s="259"/>
      <c r="CV898" s="259"/>
      <c r="CW898" s="259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  <c r="BC899" s="30"/>
      <c r="BD899" s="30"/>
      <c r="BE899" s="30"/>
      <c r="BF899" s="30"/>
      <c r="BG899" s="30"/>
      <c r="BH899" s="30"/>
      <c r="BI899" s="30"/>
      <c r="BJ899" s="30"/>
      <c r="BK899" s="30"/>
      <c r="BL899" s="30"/>
      <c r="BM899" s="30"/>
      <c r="BN899" s="30"/>
      <c r="BO899" s="259"/>
      <c r="BP899" s="259"/>
      <c r="BQ899" s="259"/>
      <c r="BR899" s="259"/>
      <c r="BS899" s="259"/>
      <c r="BT899" s="259"/>
      <c r="BU899" s="259"/>
      <c r="BV899" s="259"/>
      <c r="BW899" s="259"/>
      <c r="BX899" s="259"/>
      <c r="BY899" s="259"/>
      <c r="BZ899" s="260"/>
      <c r="CA899" s="259"/>
      <c r="CB899" s="259"/>
      <c r="CC899" s="259"/>
      <c r="CD899" s="259"/>
      <c r="CE899" s="259"/>
      <c r="CF899" s="259"/>
      <c r="CG899" s="259"/>
      <c r="CH899" s="259"/>
      <c r="CI899" s="259"/>
      <c r="CJ899" s="259"/>
      <c r="CK899" s="259"/>
      <c r="CL899" s="259"/>
      <c r="CM899" s="259"/>
      <c r="CN899" s="259"/>
      <c r="CO899" s="259"/>
      <c r="CP899" s="259"/>
      <c r="CQ899" s="259"/>
      <c r="CR899" s="259"/>
      <c r="CS899" s="259"/>
      <c r="CT899" s="259"/>
      <c r="CU899" s="259"/>
      <c r="CV899" s="259"/>
      <c r="CW899" s="259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  <c r="BD900" s="30"/>
      <c r="BE900" s="30"/>
      <c r="BF900" s="30"/>
      <c r="BG900" s="30"/>
      <c r="BH900" s="30"/>
      <c r="BI900" s="30"/>
      <c r="BJ900" s="30"/>
      <c r="BK900" s="30"/>
      <c r="BL900" s="30"/>
      <c r="BM900" s="30"/>
      <c r="BN900" s="30"/>
      <c r="BO900" s="259"/>
      <c r="BP900" s="259"/>
      <c r="BQ900" s="259"/>
      <c r="BR900" s="259"/>
      <c r="BS900" s="259"/>
      <c r="BT900" s="259"/>
      <c r="BU900" s="259"/>
      <c r="BV900" s="259"/>
      <c r="BW900" s="259"/>
      <c r="BX900" s="259"/>
      <c r="BY900" s="259"/>
      <c r="BZ900" s="260"/>
      <c r="CA900" s="259"/>
      <c r="CB900" s="259"/>
      <c r="CC900" s="259"/>
      <c r="CD900" s="259"/>
      <c r="CE900" s="259"/>
      <c r="CF900" s="259"/>
      <c r="CG900" s="259"/>
      <c r="CH900" s="259"/>
      <c r="CI900" s="259"/>
      <c r="CJ900" s="259"/>
      <c r="CK900" s="259"/>
      <c r="CL900" s="259"/>
      <c r="CM900" s="259"/>
      <c r="CN900" s="259"/>
      <c r="CO900" s="259"/>
      <c r="CP900" s="259"/>
      <c r="CQ900" s="259"/>
      <c r="CR900" s="259"/>
      <c r="CS900" s="259"/>
      <c r="CT900" s="259"/>
      <c r="CU900" s="259"/>
      <c r="CV900" s="259"/>
      <c r="CW900" s="259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  <c r="BF901" s="30"/>
      <c r="BG901" s="30"/>
      <c r="BH901" s="30"/>
      <c r="BI901" s="30"/>
      <c r="BJ901" s="30"/>
      <c r="BK901" s="30"/>
      <c r="BL901" s="30"/>
      <c r="BM901" s="30"/>
      <c r="BN901" s="30"/>
      <c r="BO901" s="259"/>
      <c r="BP901" s="259"/>
      <c r="BQ901" s="259"/>
      <c r="BR901" s="259"/>
      <c r="BS901" s="259"/>
      <c r="BT901" s="259"/>
      <c r="BU901" s="259"/>
      <c r="BV901" s="259"/>
      <c r="BW901" s="259"/>
      <c r="BX901" s="259"/>
      <c r="BY901" s="259"/>
      <c r="BZ901" s="260"/>
      <c r="CA901" s="259"/>
      <c r="CB901" s="259"/>
      <c r="CC901" s="259"/>
      <c r="CD901" s="259"/>
      <c r="CE901" s="259"/>
      <c r="CF901" s="259"/>
      <c r="CG901" s="259"/>
      <c r="CH901" s="259"/>
      <c r="CI901" s="259"/>
      <c r="CJ901" s="259"/>
      <c r="CK901" s="259"/>
      <c r="CL901" s="259"/>
      <c r="CM901" s="259"/>
      <c r="CN901" s="259"/>
      <c r="CO901" s="259"/>
      <c r="CP901" s="259"/>
      <c r="CQ901" s="259"/>
      <c r="CR901" s="259"/>
      <c r="CS901" s="259"/>
      <c r="CT901" s="259"/>
      <c r="CU901" s="259"/>
      <c r="CV901" s="259"/>
      <c r="CW901" s="259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  <c r="BD902" s="30"/>
      <c r="BE902" s="30"/>
      <c r="BF902" s="30"/>
      <c r="BG902" s="30"/>
      <c r="BH902" s="30"/>
      <c r="BI902" s="30"/>
      <c r="BJ902" s="30"/>
      <c r="BK902" s="30"/>
      <c r="BL902" s="30"/>
      <c r="BM902" s="30"/>
      <c r="BN902" s="30"/>
      <c r="BO902" s="259"/>
      <c r="BP902" s="259"/>
      <c r="BQ902" s="259"/>
      <c r="BR902" s="259"/>
      <c r="BS902" s="259"/>
      <c r="BT902" s="259"/>
      <c r="BU902" s="259"/>
      <c r="BV902" s="259"/>
      <c r="BW902" s="259"/>
      <c r="BX902" s="259"/>
      <c r="BY902" s="259"/>
      <c r="BZ902" s="260"/>
      <c r="CA902" s="259"/>
      <c r="CB902" s="259"/>
      <c r="CC902" s="259"/>
      <c r="CD902" s="259"/>
      <c r="CE902" s="259"/>
      <c r="CF902" s="259"/>
      <c r="CG902" s="259"/>
      <c r="CH902" s="259"/>
      <c r="CI902" s="259"/>
      <c r="CJ902" s="259"/>
      <c r="CK902" s="259"/>
      <c r="CL902" s="259"/>
      <c r="CM902" s="259"/>
      <c r="CN902" s="259"/>
      <c r="CO902" s="259"/>
      <c r="CP902" s="259"/>
      <c r="CQ902" s="259"/>
      <c r="CR902" s="259"/>
      <c r="CS902" s="259"/>
      <c r="CT902" s="259"/>
      <c r="CU902" s="259"/>
      <c r="CV902" s="259"/>
      <c r="CW902" s="259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  <c r="BC903" s="30"/>
      <c r="BD903" s="30"/>
      <c r="BE903" s="30"/>
      <c r="BF903" s="30"/>
      <c r="BG903" s="30"/>
      <c r="BH903" s="30"/>
      <c r="BI903" s="30"/>
      <c r="BJ903" s="30"/>
      <c r="BK903" s="30"/>
      <c r="BL903" s="30"/>
      <c r="BM903" s="30"/>
      <c r="BN903" s="30"/>
      <c r="BO903" s="259"/>
      <c r="BP903" s="259"/>
      <c r="BQ903" s="259"/>
      <c r="BR903" s="259"/>
      <c r="BS903" s="259"/>
      <c r="BT903" s="259"/>
      <c r="BU903" s="259"/>
      <c r="BV903" s="259"/>
      <c r="BW903" s="259"/>
      <c r="BX903" s="259"/>
      <c r="BY903" s="259"/>
      <c r="BZ903" s="260"/>
      <c r="CA903" s="259"/>
      <c r="CB903" s="259"/>
      <c r="CC903" s="259"/>
      <c r="CD903" s="259"/>
      <c r="CE903" s="259"/>
      <c r="CF903" s="259"/>
      <c r="CG903" s="259"/>
      <c r="CH903" s="259"/>
      <c r="CI903" s="259"/>
      <c r="CJ903" s="259"/>
      <c r="CK903" s="259"/>
      <c r="CL903" s="259"/>
      <c r="CM903" s="259"/>
      <c r="CN903" s="259"/>
      <c r="CO903" s="259"/>
      <c r="CP903" s="259"/>
      <c r="CQ903" s="259"/>
      <c r="CR903" s="259"/>
      <c r="CS903" s="259"/>
      <c r="CT903" s="259"/>
      <c r="CU903" s="259"/>
      <c r="CV903" s="259"/>
      <c r="CW903" s="259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  <c r="BD904" s="30"/>
      <c r="BE904" s="30"/>
      <c r="BF904" s="30"/>
      <c r="BG904" s="30"/>
      <c r="BH904" s="30"/>
      <c r="BI904" s="30"/>
      <c r="BJ904" s="30"/>
      <c r="BK904" s="30"/>
      <c r="BL904" s="30"/>
      <c r="BM904" s="30"/>
      <c r="BN904" s="30"/>
      <c r="BO904" s="259"/>
      <c r="BP904" s="259"/>
      <c r="BQ904" s="259"/>
      <c r="BR904" s="259"/>
      <c r="BS904" s="259"/>
      <c r="BT904" s="259"/>
      <c r="BU904" s="259"/>
      <c r="BV904" s="259"/>
      <c r="BW904" s="259"/>
      <c r="BX904" s="259"/>
      <c r="BY904" s="259"/>
      <c r="BZ904" s="260"/>
      <c r="CA904" s="259"/>
      <c r="CB904" s="259"/>
      <c r="CC904" s="259"/>
      <c r="CD904" s="259"/>
      <c r="CE904" s="259"/>
      <c r="CF904" s="259"/>
      <c r="CG904" s="259"/>
      <c r="CH904" s="259"/>
      <c r="CI904" s="259"/>
      <c r="CJ904" s="259"/>
      <c r="CK904" s="259"/>
      <c r="CL904" s="259"/>
      <c r="CM904" s="259"/>
      <c r="CN904" s="259"/>
      <c r="CO904" s="259"/>
      <c r="CP904" s="259"/>
      <c r="CQ904" s="259"/>
      <c r="CR904" s="259"/>
      <c r="CS904" s="259"/>
      <c r="CT904" s="259"/>
      <c r="CU904" s="259"/>
      <c r="CV904" s="259"/>
      <c r="CW904" s="259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  <c r="BC905" s="30"/>
      <c r="BD905" s="30"/>
      <c r="BE905" s="30"/>
      <c r="BF905" s="30"/>
      <c r="BG905" s="30"/>
      <c r="BH905" s="30"/>
      <c r="BI905" s="30"/>
      <c r="BJ905" s="30"/>
      <c r="BK905" s="30"/>
      <c r="BL905" s="30"/>
      <c r="BM905" s="30"/>
      <c r="BN905" s="30"/>
      <c r="BO905" s="259"/>
      <c r="BP905" s="259"/>
      <c r="BQ905" s="259"/>
      <c r="BR905" s="259"/>
      <c r="BS905" s="259"/>
      <c r="BT905" s="259"/>
      <c r="BU905" s="259"/>
      <c r="BV905" s="259"/>
      <c r="BW905" s="259"/>
      <c r="BX905" s="259"/>
      <c r="BY905" s="259"/>
      <c r="BZ905" s="260"/>
      <c r="CA905" s="259"/>
      <c r="CB905" s="259"/>
      <c r="CC905" s="259"/>
      <c r="CD905" s="259"/>
      <c r="CE905" s="259"/>
      <c r="CF905" s="259"/>
      <c r="CG905" s="259"/>
      <c r="CH905" s="259"/>
      <c r="CI905" s="259"/>
      <c r="CJ905" s="259"/>
      <c r="CK905" s="259"/>
      <c r="CL905" s="259"/>
      <c r="CM905" s="259"/>
      <c r="CN905" s="259"/>
      <c r="CO905" s="259"/>
      <c r="CP905" s="259"/>
      <c r="CQ905" s="259"/>
      <c r="CR905" s="259"/>
      <c r="CS905" s="259"/>
      <c r="CT905" s="259"/>
      <c r="CU905" s="259"/>
      <c r="CV905" s="259"/>
      <c r="CW905" s="259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  <c r="BD906" s="30"/>
      <c r="BE906" s="30"/>
      <c r="BF906" s="30"/>
      <c r="BG906" s="30"/>
      <c r="BH906" s="30"/>
      <c r="BI906" s="30"/>
      <c r="BJ906" s="30"/>
      <c r="BK906" s="30"/>
      <c r="BL906" s="30"/>
      <c r="BM906" s="30"/>
      <c r="BN906" s="30"/>
      <c r="BO906" s="259"/>
      <c r="BP906" s="259"/>
      <c r="BQ906" s="259"/>
      <c r="BR906" s="259"/>
      <c r="BS906" s="259"/>
      <c r="BT906" s="259"/>
      <c r="BU906" s="259"/>
      <c r="BV906" s="259"/>
      <c r="BW906" s="259"/>
      <c r="BX906" s="259"/>
      <c r="BY906" s="259"/>
      <c r="BZ906" s="260"/>
      <c r="CA906" s="259"/>
      <c r="CB906" s="259"/>
      <c r="CC906" s="259"/>
      <c r="CD906" s="259"/>
      <c r="CE906" s="259"/>
      <c r="CF906" s="259"/>
      <c r="CG906" s="259"/>
      <c r="CH906" s="259"/>
      <c r="CI906" s="259"/>
      <c r="CJ906" s="259"/>
      <c r="CK906" s="259"/>
      <c r="CL906" s="259"/>
      <c r="CM906" s="259"/>
      <c r="CN906" s="259"/>
      <c r="CO906" s="259"/>
      <c r="CP906" s="259"/>
      <c r="CQ906" s="259"/>
      <c r="CR906" s="259"/>
      <c r="CS906" s="259"/>
      <c r="CT906" s="259"/>
      <c r="CU906" s="259"/>
      <c r="CV906" s="259"/>
      <c r="CW906" s="259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  <c r="BC907" s="30"/>
      <c r="BD907" s="30"/>
      <c r="BE907" s="30"/>
      <c r="BF907" s="30"/>
      <c r="BG907" s="30"/>
      <c r="BH907" s="30"/>
      <c r="BI907" s="30"/>
      <c r="BJ907" s="30"/>
      <c r="BK907" s="30"/>
      <c r="BL907" s="30"/>
      <c r="BM907" s="30"/>
      <c r="BN907" s="30"/>
      <c r="BO907" s="259"/>
      <c r="BP907" s="259"/>
      <c r="BQ907" s="259"/>
      <c r="BR907" s="259"/>
      <c r="BS907" s="259"/>
      <c r="BT907" s="259"/>
      <c r="BU907" s="259"/>
      <c r="BV907" s="259"/>
      <c r="BW907" s="259"/>
      <c r="BX907" s="259"/>
      <c r="BY907" s="259"/>
      <c r="BZ907" s="260"/>
      <c r="CA907" s="259"/>
      <c r="CB907" s="259"/>
      <c r="CC907" s="259"/>
      <c r="CD907" s="259"/>
      <c r="CE907" s="259"/>
      <c r="CF907" s="259"/>
      <c r="CG907" s="259"/>
      <c r="CH907" s="259"/>
      <c r="CI907" s="259"/>
      <c r="CJ907" s="259"/>
      <c r="CK907" s="259"/>
      <c r="CL907" s="259"/>
      <c r="CM907" s="259"/>
      <c r="CN907" s="259"/>
      <c r="CO907" s="259"/>
      <c r="CP907" s="259"/>
      <c r="CQ907" s="259"/>
      <c r="CR907" s="259"/>
      <c r="CS907" s="259"/>
      <c r="CT907" s="259"/>
      <c r="CU907" s="259"/>
      <c r="CV907" s="259"/>
      <c r="CW907" s="259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  <c r="BD908" s="30"/>
      <c r="BE908" s="30"/>
      <c r="BF908" s="30"/>
      <c r="BG908" s="30"/>
      <c r="BH908" s="30"/>
      <c r="BI908" s="30"/>
      <c r="BJ908" s="30"/>
      <c r="BK908" s="30"/>
      <c r="BL908" s="30"/>
      <c r="BM908" s="30"/>
      <c r="BN908" s="30"/>
      <c r="BO908" s="259"/>
      <c r="BP908" s="259"/>
      <c r="BQ908" s="259"/>
      <c r="BR908" s="259"/>
      <c r="BS908" s="259"/>
      <c r="BT908" s="259"/>
      <c r="BU908" s="259"/>
      <c r="BV908" s="259"/>
      <c r="BW908" s="259"/>
      <c r="BX908" s="259"/>
      <c r="BY908" s="259"/>
      <c r="BZ908" s="260"/>
      <c r="CA908" s="259"/>
      <c r="CB908" s="259"/>
      <c r="CC908" s="259"/>
      <c r="CD908" s="259"/>
      <c r="CE908" s="259"/>
      <c r="CF908" s="259"/>
      <c r="CG908" s="259"/>
      <c r="CH908" s="259"/>
      <c r="CI908" s="259"/>
      <c r="CJ908" s="259"/>
      <c r="CK908" s="259"/>
      <c r="CL908" s="259"/>
      <c r="CM908" s="259"/>
      <c r="CN908" s="259"/>
      <c r="CO908" s="259"/>
      <c r="CP908" s="259"/>
      <c r="CQ908" s="259"/>
      <c r="CR908" s="259"/>
      <c r="CS908" s="259"/>
      <c r="CT908" s="259"/>
      <c r="CU908" s="259"/>
      <c r="CV908" s="259"/>
      <c r="CW908" s="259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  <c r="BC909" s="30"/>
      <c r="BD909" s="30"/>
      <c r="BE909" s="30"/>
      <c r="BF909" s="30"/>
      <c r="BG909" s="30"/>
      <c r="BH909" s="30"/>
      <c r="BI909" s="30"/>
      <c r="BJ909" s="30"/>
      <c r="BK909" s="30"/>
      <c r="BL909" s="30"/>
      <c r="BM909" s="30"/>
      <c r="BN909" s="30"/>
      <c r="BO909" s="259"/>
      <c r="BP909" s="259"/>
      <c r="BQ909" s="259"/>
      <c r="BR909" s="259"/>
      <c r="BS909" s="259"/>
      <c r="BT909" s="259"/>
      <c r="BU909" s="259"/>
      <c r="BV909" s="259"/>
      <c r="BW909" s="259"/>
      <c r="BX909" s="259"/>
      <c r="BY909" s="259"/>
      <c r="BZ909" s="260"/>
      <c r="CA909" s="259"/>
      <c r="CB909" s="259"/>
      <c r="CC909" s="259"/>
      <c r="CD909" s="259"/>
      <c r="CE909" s="259"/>
      <c r="CF909" s="259"/>
      <c r="CG909" s="259"/>
      <c r="CH909" s="259"/>
      <c r="CI909" s="259"/>
      <c r="CJ909" s="259"/>
      <c r="CK909" s="259"/>
      <c r="CL909" s="259"/>
      <c r="CM909" s="259"/>
      <c r="CN909" s="259"/>
      <c r="CO909" s="259"/>
      <c r="CP909" s="259"/>
      <c r="CQ909" s="259"/>
      <c r="CR909" s="259"/>
      <c r="CS909" s="259"/>
      <c r="CT909" s="259"/>
      <c r="CU909" s="259"/>
      <c r="CV909" s="259"/>
      <c r="CW909" s="259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  <c r="BF910" s="30"/>
      <c r="BG910" s="30"/>
      <c r="BH910" s="30"/>
      <c r="BI910" s="30"/>
      <c r="BJ910" s="30"/>
      <c r="BK910" s="30"/>
      <c r="BL910" s="30"/>
      <c r="BM910" s="30"/>
      <c r="BN910" s="30"/>
      <c r="BO910" s="259"/>
      <c r="BP910" s="259"/>
      <c r="BQ910" s="259"/>
      <c r="BR910" s="259"/>
      <c r="BS910" s="259"/>
      <c r="BT910" s="259"/>
      <c r="BU910" s="259"/>
      <c r="BV910" s="259"/>
      <c r="BW910" s="259"/>
      <c r="BX910" s="259"/>
      <c r="BY910" s="259"/>
      <c r="BZ910" s="260"/>
      <c r="CA910" s="259"/>
      <c r="CB910" s="259"/>
      <c r="CC910" s="259"/>
      <c r="CD910" s="259"/>
      <c r="CE910" s="259"/>
      <c r="CF910" s="259"/>
      <c r="CG910" s="259"/>
      <c r="CH910" s="259"/>
      <c r="CI910" s="259"/>
      <c r="CJ910" s="259"/>
      <c r="CK910" s="259"/>
      <c r="CL910" s="259"/>
      <c r="CM910" s="259"/>
      <c r="CN910" s="259"/>
      <c r="CO910" s="259"/>
      <c r="CP910" s="259"/>
      <c r="CQ910" s="259"/>
      <c r="CR910" s="259"/>
      <c r="CS910" s="259"/>
      <c r="CT910" s="259"/>
      <c r="CU910" s="259"/>
      <c r="CV910" s="259"/>
      <c r="CW910" s="259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  <c r="BC911" s="30"/>
      <c r="BD911" s="30"/>
      <c r="BE911" s="30"/>
      <c r="BF911" s="30"/>
      <c r="BG911" s="30"/>
      <c r="BH911" s="30"/>
      <c r="BI911" s="30"/>
      <c r="BJ911" s="30"/>
      <c r="BK911" s="30"/>
      <c r="BL911" s="30"/>
      <c r="BM911" s="30"/>
      <c r="BN911" s="30"/>
      <c r="BO911" s="259"/>
      <c r="BP911" s="259"/>
      <c r="BQ911" s="259"/>
      <c r="BR911" s="259"/>
      <c r="BS911" s="259"/>
      <c r="BT911" s="259"/>
      <c r="BU911" s="259"/>
      <c r="BV911" s="259"/>
      <c r="BW911" s="259"/>
      <c r="BX911" s="259"/>
      <c r="BY911" s="259"/>
      <c r="BZ911" s="260"/>
      <c r="CA911" s="259"/>
      <c r="CB911" s="259"/>
      <c r="CC911" s="259"/>
      <c r="CD911" s="259"/>
      <c r="CE911" s="259"/>
      <c r="CF911" s="259"/>
      <c r="CG911" s="259"/>
      <c r="CH911" s="259"/>
      <c r="CI911" s="259"/>
      <c r="CJ911" s="259"/>
      <c r="CK911" s="259"/>
      <c r="CL911" s="259"/>
      <c r="CM911" s="259"/>
      <c r="CN911" s="259"/>
      <c r="CO911" s="259"/>
      <c r="CP911" s="259"/>
      <c r="CQ911" s="259"/>
      <c r="CR911" s="259"/>
      <c r="CS911" s="259"/>
      <c r="CT911" s="259"/>
      <c r="CU911" s="259"/>
      <c r="CV911" s="259"/>
      <c r="CW911" s="259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  <c r="BD912" s="30"/>
      <c r="BE912" s="30"/>
      <c r="BF912" s="30"/>
      <c r="BG912" s="30"/>
      <c r="BH912" s="30"/>
      <c r="BI912" s="30"/>
      <c r="BJ912" s="30"/>
      <c r="BK912" s="30"/>
      <c r="BL912" s="30"/>
      <c r="BM912" s="30"/>
      <c r="BN912" s="30"/>
      <c r="BO912" s="259"/>
      <c r="BP912" s="259"/>
      <c r="BQ912" s="259"/>
      <c r="BR912" s="259"/>
      <c r="BS912" s="259"/>
      <c r="BT912" s="259"/>
      <c r="BU912" s="259"/>
      <c r="BV912" s="259"/>
      <c r="BW912" s="259"/>
      <c r="BX912" s="259"/>
      <c r="BY912" s="259"/>
      <c r="BZ912" s="260"/>
      <c r="CA912" s="259"/>
      <c r="CB912" s="259"/>
      <c r="CC912" s="259"/>
      <c r="CD912" s="259"/>
      <c r="CE912" s="259"/>
      <c r="CF912" s="259"/>
      <c r="CG912" s="259"/>
      <c r="CH912" s="259"/>
      <c r="CI912" s="259"/>
      <c r="CJ912" s="259"/>
      <c r="CK912" s="259"/>
      <c r="CL912" s="259"/>
      <c r="CM912" s="259"/>
      <c r="CN912" s="259"/>
      <c r="CO912" s="259"/>
      <c r="CP912" s="259"/>
      <c r="CQ912" s="259"/>
      <c r="CR912" s="259"/>
      <c r="CS912" s="259"/>
      <c r="CT912" s="259"/>
      <c r="CU912" s="259"/>
      <c r="CV912" s="259"/>
      <c r="CW912" s="259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  <c r="BC913" s="30"/>
      <c r="BD913" s="30"/>
      <c r="BE913" s="30"/>
      <c r="BF913" s="30"/>
      <c r="BG913" s="30"/>
      <c r="BH913" s="30"/>
      <c r="BI913" s="30"/>
      <c r="BJ913" s="30"/>
      <c r="BK913" s="30"/>
      <c r="BL913" s="30"/>
      <c r="BM913" s="30"/>
      <c r="BN913" s="30"/>
      <c r="BO913" s="259"/>
      <c r="BP913" s="259"/>
      <c r="BQ913" s="259"/>
      <c r="BR913" s="259"/>
      <c r="BS913" s="259"/>
      <c r="BT913" s="259"/>
      <c r="BU913" s="259"/>
      <c r="BV913" s="259"/>
      <c r="BW913" s="259"/>
      <c r="BX913" s="259"/>
      <c r="BY913" s="259"/>
      <c r="BZ913" s="260"/>
      <c r="CA913" s="259"/>
      <c r="CB913" s="259"/>
      <c r="CC913" s="259"/>
      <c r="CD913" s="259"/>
      <c r="CE913" s="259"/>
      <c r="CF913" s="259"/>
      <c r="CG913" s="259"/>
      <c r="CH913" s="259"/>
      <c r="CI913" s="259"/>
      <c r="CJ913" s="259"/>
      <c r="CK913" s="259"/>
      <c r="CL913" s="259"/>
      <c r="CM913" s="259"/>
      <c r="CN913" s="259"/>
      <c r="CO913" s="259"/>
      <c r="CP913" s="259"/>
      <c r="CQ913" s="259"/>
      <c r="CR913" s="259"/>
      <c r="CS913" s="259"/>
      <c r="CT913" s="259"/>
      <c r="CU913" s="259"/>
      <c r="CV913" s="259"/>
      <c r="CW913" s="259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  <c r="BC914" s="30"/>
      <c r="BD914" s="30"/>
      <c r="BE914" s="30"/>
      <c r="BF914" s="30"/>
      <c r="BG914" s="30"/>
      <c r="BH914" s="30"/>
      <c r="BI914" s="30"/>
      <c r="BJ914" s="30"/>
      <c r="BK914" s="30"/>
      <c r="BL914" s="30"/>
      <c r="BM914" s="30"/>
      <c r="BN914" s="30"/>
      <c r="BO914" s="259"/>
      <c r="BP914" s="259"/>
      <c r="BQ914" s="259"/>
      <c r="BR914" s="259"/>
      <c r="BS914" s="259"/>
      <c r="BT914" s="259"/>
      <c r="BU914" s="259"/>
      <c r="BV914" s="259"/>
      <c r="BW914" s="259"/>
      <c r="BX914" s="259"/>
      <c r="BY914" s="259"/>
      <c r="BZ914" s="260"/>
      <c r="CA914" s="259"/>
      <c r="CB914" s="259"/>
      <c r="CC914" s="259"/>
      <c r="CD914" s="259"/>
      <c r="CE914" s="259"/>
      <c r="CF914" s="259"/>
      <c r="CG914" s="259"/>
      <c r="CH914" s="259"/>
      <c r="CI914" s="259"/>
      <c r="CJ914" s="259"/>
      <c r="CK914" s="259"/>
      <c r="CL914" s="259"/>
      <c r="CM914" s="259"/>
      <c r="CN914" s="259"/>
      <c r="CO914" s="259"/>
      <c r="CP914" s="259"/>
      <c r="CQ914" s="259"/>
      <c r="CR914" s="259"/>
      <c r="CS914" s="259"/>
      <c r="CT914" s="259"/>
      <c r="CU914" s="259"/>
      <c r="CV914" s="259"/>
      <c r="CW914" s="259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  <c r="BB915" s="30"/>
      <c r="BC915" s="30"/>
      <c r="BD915" s="30"/>
      <c r="BE915" s="30"/>
      <c r="BF915" s="30"/>
      <c r="BG915" s="30"/>
      <c r="BH915" s="30"/>
      <c r="BI915" s="30"/>
      <c r="BJ915" s="30"/>
      <c r="BK915" s="30"/>
      <c r="BL915" s="30"/>
      <c r="BM915" s="30"/>
      <c r="BN915" s="30"/>
      <c r="BO915" s="259"/>
      <c r="BP915" s="259"/>
      <c r="BQ915" s="259"/>
      <c r="BR915" s="259"/>
      <c r="BS915" s="259"/>
      <c r="BT915" s="259"/>
      <c r="BU915" s="259"/>
      <c r="BV915" s="259"/>
      <c r="BW915" s="259"/>
      <c r="BX915" s="259"/>
      <c r="BY915" s="259"/>
      <c r="BZ915" s="260"/>
      <c r="CA915" s="259"/>
      <c r="CB915" s="259"/>
      <c r="CC915" s="259"/>
      <c r="CD915" s="259"/>
      <c r="CE915" s="259"/>
      <c r="CF915" s="259"/>
      <c r="CG915" s="259"/>
      <c r="CH915" s="259"/>
      <c r="CI915" s="259"/>
      <c r="CJ915" s="259"/>
      <c r="CK915" s="259"/>
      <c r="CL915" s="259"/>
      <c r="CM915" s="259"/>
      <c r="CN915" s="259"/>
      <c r="CO915" s="259"/>
      <c r="CP915" s="259"/>
      <c r="CQ915" s="259"/>
      <c r="CR915" s="259"/>
      <c r="CS915" s="259"/>
      <c r="CT915" s="259"/>
      <c r="CU915" s="259"/>
      <c r="CV915" s="259"/>
      <c r="CW915" s="259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  <c r="BD916" s="30"/>
      <c r="BE916" s="30"/>
      <c r="BF916" s="30"/>
      <c r="BG916" s="30"/>
      <c r="BH916" s="30"/>
      <c r="BI916" s="30"/>
      <c r="BJ916" s="30"/>
      <c r="BK916" s="30"/>
      <c r="BL916" s="30"/>
      <c r="BM916" s="30"/>
      <c r="BN916" s="30"/>
      <c r="BO916" s="259"/>
      <c r="BP916" s="259"/>
      <c r="BQ916" s="259"/>
      <c r="BR916" s="259"/>
      <c r="BS916" s="259"/>
      <c r="BT916" s="259"/>
      <c r="BU916" s="259"/>
      <c r="BV916" s="259"/>
      <c r="BW916" s="259"/>
      <c r="BX916" s="259"/>
      <c r="BY916" s="259"/>
      <c r="BZ916" s="260"/>
      <c r="CA916" s="259"/>
      <c r="CB916" s="259"/>
      <c r="CC916" s="259"/>
      <c r="CD916" s="259"/>
      <c r="CE916" s="259"/>
      <c r="CF916" s="259"/>
      <c r="CG916" s="259"/>
      <c r="CH916" s="259"/>
      <c r="CI916" s="259"/>
      <c r="CJ916" s="259"/>
      <c r="CK916" s="259"/>
      <c r="CL916" s="259"/>
      <c r="CM916" s="259"/>
      <c r="CN916" s="259"/>
      <c r="CO916" s="259"/>
      <c r="CP916" s="259"/>
      <c r="CQ916" s="259"/>
      <c r="CR916" s="259"/>
      <c r="CS916" s="259"/>
      <c r="CT916" s="259"/>
      <c r="CU916" s="259"/>
      <c r="CV916" s="259"/>
      <c r="CW916" s="259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  <c r="BB917" s="30"/>
      <c r="BC917" s="30"/>
      <c r="BD917" s="30"/>
      <c r="BE917" s="30"/>
      <c r="BF917" s="30"/>
      <c r="BG917" s="30"/>
      <c r="BH917" s="30"/>
      <c r="BI917" s="30"/>
      <c r="BJ917" s="30"/>
      <c r="BK917" s="30"/>
      <c r="BL917" s="30"/>
      <c r="BM917" s="30"/>
      <c r="BN917" s="30"/>
      <c r="BO917" s="259"/>
      <c r="BP917" s="259"/>
      <c r="BQ917" s="259"/>
      <c r="BR917" s="259"/>
      <c r="BS917" s="259"/>
      <c r="BT917" s="259"/>
      <c r="BU917" s="259"/>
      <c r="BV917" s="259"/>
      <c r="BW917" s="259"/>
      <c r="BX917" s="259"/>
      <c r="BY917" s="259"/>
      <c r="BZ917" s="260"/>
      <c r="CA917" s="259"/>
      <c r="CB917" s="259"/>
      <c r="CC917" s="259"/>
      <c r="CD917" s="259"/>
      <c r="CE917" s="259"/>
      <c r="CF917" s="259"/>
      <c r="CG917" s="259"/>
      <c r="CH917" s="259"/>
      <c r="CI917" s="259"/>
      <c r="CJ917" s="259"/>
      <c r="CK917" s="259"/>
      <c r="CL917" s="259"/>
      <c r="CM917" s="259"/>
      <c r="CN917" s="259"/>
      <c r="CO917" s="259"/>
      <c r="CP917" s="259"/>
      <c r="CQ917" s="259"/>
      <c r="CR917" s="259"/>
      <c r="CS917" s="259"/>
      <c r="CT917" s="259"/>
      <c r="CU917" s="259"/>
      <c r="CV917" s="259"/>
      <c r="CW917" s="259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  <c r="BC918" s="30"/>
      <c r="BD918" s="30"/>
      <c r="BE918" s="30"/>
      <c r="BF918" s="30"/>
      <c r="BG918" s="30"/>
      <c r="BH918" s="30"/>
      <c r="BI918" s="30"/>
      <c r="BJ918" s="30"/>
      <c r="BK918" s="30"/>
      <c r="BL918" s="30"/>
      <c r="BM918" s="30"/>
      <c r="BN918" s="30"/>
      <c r="BO918" s="259"/>
      <c r="BP918" s="259"/>
      <c r="BQ918" s="259"/>
      <c r="BR918" s="259"/>
      <c r="BS918" s="259"/>
      <c r="BT918" s="259"/>
      <c r="BU918" s="259"/>
      <c r="BV918" s="259"/>
      <c r="BW918" s="259"/>
      <c r="BX918" s="259"/>
      <c r="BY918" s="259"/>
      <c r="BZ918" s="260"/>
      <c r="CA918" s="259"/>
      <c r="CB918" s="259"/>
      <c r="CC918" s="259"/>
      <c r="CD918" s="259"/>
      <c r="CE918" s="259"/>
      <c r="CF918" s="259"/>
      <c r="CG918" s="259"/>
      <c r="CH918" s="259"/>
      <c r="CI918" s="259"/>
      <c r="CJ918" s="259"/>
      <c r="CK918" s="259"/>
      <c r="CL918" s="259"/>
      <c r="CM918" s="259"/>
      <c r="CN918" s="259"/>
      <c r="CO918" s="259"/>
      <c r="CP918" s="259"/>
      <c r="CQ918" s="259"/>
      <c r="CR918" s="259"/>
      <c r="CS918" s="259"/>
      <c r="CT918" s="259"/>
      <c r="CU918" s="259"/>
      <c r="CV918" s="259"/>
      <c r="CW918" s="259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  <c r="BD919" s="30"/>
      <c r="BE919" s="30"/>
      <c r="BF919" s="30"/>
      <c r="BG919" s="30"/>
      <c r="BH919" s="30"/>
      <c r="BI919" s="30"/>
      <c r="BJ919" s="30"/>
      <c r="BK919" s="30"/>
      <c r="BL919" s="30"/>
      <c r="BM919" s="30"/>
      <c r="BN919" s="30"/>
      <c r="BO919" s="259"/>
      <c r="BP919" s="259"/>
      <c r="BQ919" s="259"/>
      <c r="BR919" s="259"/>
      <c r="BS919" s="259"/>
      <c r="BT919" s="259"/>
      <c r="BU919" s="259"/>
      <c r="BV919" s="259"/>
      <c r="BW919" s="259"/>
      <c r="BX919" s="259"/>
      <c r="BY919" s="259"/>
      <c r="BZ919" s="260"/>
      <c r="CA919" s="259"/>
      <c r="CB919" s="259"/>
      <c r="CC919" s="259"/>
      <c r="CD919" s="259"/>
      <c r="CE919" s="259"/>
      <c r="CF919" s="259"/>
      <c r="CG919" s="259"/>
      <c r="CH919" s="259"/>
      <c r="CI919" s="259"/>
      <c r="CJ919" s="259"/>
      <c r="CK919" s="259"/>
      <c r="CL919" s="259"/>
      <c r="CM919" s="259"/>
      <c r="CN919" s="259"/>
      <c r="CO919" s="259"/>
      <c r="CP919" s="259"/>
      <c r="CQ919" s="259"/>
      <c r="CR919" s="259"/>
      <c r="CS919" s="259"/>
      <c r="CT919" s="259"/>
      <c r="CU919" s="259"/>
      <c r="CV919" s="259"/>
      <c r="CW919" s="259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  <c r="BC920" s="30"/>
      <c r="BD920" s="30"/>
      <c r="BE920" s="30"/>
      <c r="BF920" s="30"/>
      <c r="BG920" s="30"/>
      <c r="BH920" s="30"/>
      <c r="BI920" s="30"/>
      <c r="BJ920" s="30"/>
      <c r="BK920" s="30"/>
      <c r="BL920" s="30"/>
      <c r="BM920" s="30"/>
      <c r="BN920" s="30"/>
      <c r="BO920" s="259"/>
      <c r="BP920" s="259"/>
      <c r="BQ920" s="259"/>
      <c r="BR920" s="259"/>
      <c r="BS920" s="259"/>
      <c r="BT920" s="259"/>
      <c r="BU920" s="259"/>
      <c r="BV920" s="259"/>
      <c r="BW920" s="259"/>
      <c r="BX920" s="259"/>
      <c r="BY920" s="259"/>
      <c r="BZ920" s="260"/>
      <c r="CA920" s="259"/>
      <c r="CB920" s="259"/>
      <c r="CC920" s="259"/>
      <c r="CD920" s="259"/>
      <c r="CE920" s="259"/>
      <c r="CF920" s="259"/>
      <c r="CG920" s="259"/>
      <c r="CH920" s="259"/>
      <c r="CI920" s="259"/>
      <c r="CJ920" s="259"/>
      <c r="CK920" s="259"/>
      <c r="CL920" s="259"/>
      <c r="CM920" s="259"/>
      <c r="CN920" s="259"/>
      <c r="CO920" s="259"/>
      <c r="CP920" s="259"/>
      <c r="CQ920" s="259"/>
      <c r="CR920" s="259"/>
      <c r="CS920" s="259"/>
      <c r="CT920" s="259"/>
      <c r="CU920" s="259"/>
      <c r="CV920" s="259"/>
      <c r="CW920" s="259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  <c r="BC921" s="30"/>
      <c r="BD921" s="30"/>
      <c r="BE921" s="30"/>
      <c r="BF921" s="30"/>
      <c r="BG921" s="30"/>
      <c r="BH921" s="30"/>
      <c r="BI921" s="30"/>
      <c r="BJ921" s="30"/>
      <c r="BK921" s="30"/>
      <c r="BL921" s="30"/>
      <c r="BM921" s="30"/>
      <c r="BN921" s="30"/>
      <c r="BO921" s="259"/>
      <c r="BP921" s="259"/>
      <c r="BQ921" s="259"/>
      <c r="BR921" s="259"/>
      <c r="BS921" s="259"/>
      <c r="BT921" s="259"/>
      <c r="BU921" s="259"/>
      <c r="BV921" s="259"/>
      <c r="BW921" s="259"/>
      <c r="BX921" s="259"/>
      <c r="BY921" s="259"/>
      <c r="BZ921" s="260"/>
      <c r="CA921" s="259"/>
      <c r="CB921" s="259"/>
      <c r="CC921" s="259"/>
      <c r="CD921" s="259"/>
      <c r="CE921" s="259"/>
      <c r="CF921" s="259"/>
      <c r="CG921" s="259"/>
      <c r="CH921" s="259"/>
      <c r="CI921" s="259"/>
      <c r="CJ921" s="259"/>
      <c r="CK921" s="259"/>
      <c r="CL921" s="259"/>
      <c r="CM921" s="259"/>
      <c r="CN921" s="259"/>
      <c r="CO921" s="259"/>
      <c r="CP921" s="259"/>
      <c r="CQ921" s="259"/>
      <c r="CR921" s="259"/>
      <c r="CS921" s="259"/>
      <c r="CT921" s="259"/>
      <c r="CU921" s="259"/>
      <c r="CV921" s="259"/>
      <c r="CW921" s="259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  <c r="BD922" s="30"/>
      <c r="BE922" s="30"/>
      <c r="BF922" s="30"/>
      <c r="BG922" s="30"/>
      <c r="BH922" s="30"/>
      <c r="BI922" s="30"/>
      <c r="BJ922" s="30"/>
      <c r="BK922" s="30"/>
      <c r="BL922" s="30"/>
      <c r="BM922" s="30"/>
      <c r="BN922" s="30"/>
      <c r="BO922" s="259"/>
      <c r="BP922" s="259"/>
      <c r="BQ922" s="259"/>
      <c r="BR922" s="259"/>
      <c r="BS922" s="259"/>
      <c r="BT922" s="259"/>
      <c r="BU922" s="259"/>
      <c r="BV922" s="259"/>
      <c r="BW922" s="259"/>
      <c r="BX922" s="259"/>
      <c r="BY922" s="259"/>
      <c r="BZ922" s="260"/>
      <c r="CA922" s="259"/>
      <c r="CB922" s="259"/>
      <c r="CC922" s="259"/>
      <c r="CD922" s="259"/>
      <c r="CE922" s="259"/>
      <c r="CF922" s="259"/>
      <c r="CG922" s="259"/>
      <c r="CH922" s="259"/>
      <c r="CI922" s="259"/>
      <c r="CJ922" s="259"/>
      <c r="CK922" s="259"/>
      <c r="CL922" s="259"/>
      <c r="CM922" s="259"/>
      <c r="CN922" s="259"/>
      <c r="CO922" s="259"/>
      <c r="CP922" s="259"/>
      <c r="CQ922" s="259"/>
      <c r="CR922" s="259"/>
      <c r="CS922" s="259"/>
      <c r="CT922" s="259"/>
      <c r="CU922" s="259"/>
      <c r="CV922" s="259"/>
      <c r="CW922" s="259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  <c r="BC923" s="30"/>
      <c r="BD923" s="30"/>
      <c r="BE923" s="30"/>
      <c r="BF923" s="30"/>
      <c r="BG923" s="30"/>
      <c r="BH923" s="30"/>
      <c r="BI923" s="30"/>
      <c r="BJ923" s="30"/>
      <c r="BK923" s="30"/>
      <c r="BL923" s="30"/>
      <c r="BM923" s="30"/>
      <c r="BN923" s="30"/>
      <c r="BO923" s="259"/>
      <c r="BP923" s="259"/>
      <c r="BQ923" s="259"/>
      <c r="BR923" s="259"/>
      <c r="BS923" s="259"/>
      <c r="BT923" s="259"/>
      <c r="BU923" s="259"/>
      <c r="BV923" s="259"/>
      <c r="BW923" s="259"/>
      <c r="BX923" s="259"/>
      <c r="BY923" s="259"/>
      <c r="BZ923" s="260"/>
      <c r="CA923" s="259"/>
      <c r="CB923" s="259"/>
      <c r="CC923" s="259"/>
      <c r="CD923" s="259"/>
      <c r="CE923" s="259"/>
      <c r="CF923" s="259"/>
      <c r="CG923" s="259"/>
      <c r="CH923" s="259"/>
      <c r="CI923" s="259"/>
      <c r="CJ923" s="259"/>
      <c r="CK923" s="259"/>
      <c r="CL923" s="259"/>
      <c r="CM923" s="259"/>
      <c r="CN923" s="259"/>
      <c r="CO923" s="259"/>
      <c r="CP923" s="259"/>
      <c r="CQ923" s="259"/>
      <c r="CR923" s="259"/>
      <c r="CS923" s="259"/>
      <c r="CT923" s="259"/>
      <c r="CU923" s="259"/>
      <c r="CV923" s="259"/>
      <c r="CW923" s="259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  <c r="BC924" s="30"/>
      <c r="BD924" s="30"/>
      <c r="BE924" s="30"/>
      <c r="BF924" s="30"/>
      <c r="BG924" s="30"/>
      <c r="BH924" s="30"/>
      <c r="BI924" s="30"/>
      <c r="BJ924" s="30"/>
      <c r="BK924" s="30"/>
      <c r="BL924" s="30"/>
      <c r="BM924" s="30"/>
      <c r="BN924" s="30"/>
      <c r="BO924" s="259"/>
      <c r="BP924" s="259"/>
      <c r="BQ924" s="259"/>
      <c r="BR924" s="259"/>
      <c r="BS924" s="259"/>
      <c r="BT924" s="259"/>
      <c r="BU924" s="259"/>
      <c r="BV924" s="259"/>
      <c r="BW924" s="259"/>
      <c r="BX924" s="259"/>
      <c r="BY924" s="259"/>
      <c r="BZ924" s="260"/>
      <c r="CA924" s="259"/>
      <c r="CB924" s="259"/>
      <c r="CC924" s="259"/>
      <c r="CD924" s="259"/>
      <c r="CE924" s="259"/>
      <c r="CF924" s="259"/>
      <c r="CG924" s="259"/>
      <c r="CH924" s="259"/>
      <c r="CI924" s="259"/>
      <c r="CJ924" s="259"/>
      <c r="CK924" s="259"/>
      <c r="CL924" s="259"/>
      <c r="CM924" s="259"/>
      <c r="CN924" s="259"/>
      <c r="CO924" s="259"/>
      <c r="CP924" s="259"/>
      <c r="CQ924" s="259"/>
      <c r="CR924" s="259"/>
      <c r="CS924" s="259"/>
      <c r="CT924" s="259"/>
      <c r="CU924" s="259"/>
      <c r="CV924" s="259"/>
      <c r="CW924" s="259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  <c r="BC925" s="30"/>
      <c r="BD925" s="30"/>
      <c r="BE925" s="30"/>
      <c r="BF925" s="30"/>
      <c r="BG925" s="30"/>
      <c r="BH925" s="30"/>
      <c r="BI925" s="30"/>
      <c r="BJ925" s="30"/>
      <c r="BK925" s="30"/>
      <c r="BL925" s="30"/>
      <c r="BM925" s="30"/>
      <c r="BN925" s="30"/>
      <c r="BO925" s="259"/>
      <c r="BP925" s="259"/>
      <c r="BQ925" s="259"/>
      <c r="BR925" s="259"/>
      <c r="BS925" s="259"/>
      <c r="BT925" s="259"/>
      <c r="BU925" s="259"/>
      <c r="BV925" s="259"/>
      <c r="BW925" s="259"/>
      <c r="BX925" s="259"/>
      <c r="BY925" s="259"/>
      <c r="BZ925" s="260"/>
      <c r="CA925" s="259"/>
      <c r="CB925" s="259"/>
      <c r="CC925" s="259"/>
      <c r="CD925" s="259"/>
      <c r="CE925" s="259"/>
      <c r="CF925" s="259"/>
      <c r="CG925" s="259"/>
      <c r="CH925" s="259"/>
      <c r="CI925" s="259"/>
      <c r="CJ925" s="259"/>
      <c r="CK925" s="259"/>
      <c r="CL925" s="259"/>
      <c r="CM925" s="259"/>
      <c r="CN925" s="259"/>
      <c r="CO925" s="259"/>
      <c r="CP925" s="259"/>
      <c r="CQ925" s="259"/>
      <c r="CR925" s="259"/>
      <c r="CS925" s="259"/>
      <c r="CT925" s="259"/>
      <c r="CU925" s="259"/>
      <c r="CV925" s="259"/>
      <c r="CW925" s="259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  <c r="BC926" s="30"/>
      <c r="BD926" s="30"/>
      <c r="BE926" s="30"/>
      <c r="BF926" s="30"/>
      <c r="BG926" s="30"/>
      <c r="BH926" s="30"/>
      <c r="BI926" s="30"/>
      <c r="BJ926" s="30"/>
      <c r="BK926" s="30"/>
      <c r="BL926" s="30"/>
      <c r="BM926" s="30"/>
      <c r="BN926" s="30"/>
      <c r="BO926" s="259"/>
      <c r="BP926" s="259"/>
      <c r="BQ926" s="259"/>
      <c r="BR926" s="259"/>
      <c r="BS926" s="259"/>
      <c r="BT926" s="259"/>
      <c r="BU926" s="259"/>
      <c r="BV926" s="259"/>
      <c r="BW926" s="259"/>
      <c r="BX926" s="259"/>
      <c r="BY926" s="259"/>
      <c r="BZ926" s="260"/>
      <c r="CA926" s="259"/>
      <c r="CB926" s="259"/>
      <c r="CC926" s="259"/>
      <c r="CD926" s="259"/>
      <c r="CE926" s="259"/>
      <c r="CF926" s="259"/>
      <c r="CG926" s="259"/>
      <c r="CH926" s="259"/>
      <c r="CI926" s="259"/>
      <c r="CJ926" s="259"/>
      <c r="CK926" s="259"/>
      <c r="CL926" s="259"/>
      <c r="CM926" s="259"/>
      <c r="CN926" s="259"/>
      <c r="CO926" s="259"/>
      <c r="CP926" s="259"/>
      <c r="CQ926" s="259"/>
      <c r="CR926" s="259"/>
      <c r="CS926" s="259"/>
      <c r="CT926" s="259"/>
      <c r="CU926" s="259"/>
      <c r="CV926" s="259"/>
      <c r="CW926" s="259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  <c r="BB927" s="30"/>
      <c r="BC927" s="30"/>
      <c r="BD927" s="30"/>
      <c r="BE927" s="30"/>
      <c r="BF927" s="30"/>
      <c r="BG927" s="30"/>
      <c r="BH927" s="30"/>
      <c r="BI927" s="30"/>
      <c r="BJ927" s="30"/>
      <c r="BK927" s="30"/>
      <c r="BL927" s="30"/>
      <c r="BM927" s="30"/>
      <c r="BN927" s="30"/>
      <c r="BO927" s="259"/>
      <c r="BP927" s="259"/>
      <c r="BQ927" s="259"/>
      <c r="BR927" s="259"/>
      <c r="BS927" s="259"/>
      <c r="BT927" s="259"/>
      <c r="BU927" s="259"/>
      <c r="BV927" s="259"/>
      <c r="BW927" s="259"/>
      <c r="BX927" s="259"/>
      <c r="BY927" s="259"/>
      <c r="BZ927" s="260"/>
      <c r="CA927" s="259"/>
      <c r="CB927" s="259"/>
      <c r="CC927" s="259"/>
      <c r="CD927" s="259"/>
      <c r="CE927" s="259"/>
      <c r="CF927" s="259"/>
      <c r="CG927" s="259"/>
      <c r="CH927" s="259"/>
      <c r="CI927" s="259"/>
      <c r="CJ927" s="259"/>
      <c r="CK927" s="259"/>
      <c r="CL927" s="259"/>
      <c r="CM927" s="259"/>
      <c r="CN927" s="259"/>
      <c r="CO927" s="259"/>
      <c r="CP927" s="259"/>
      <c r="CQ927" s="259"/>
      <c r="CR927" s="259"/>
      <c r="CS927" s="259"/>
      <c r="CT927" s="259"/>
      <c r="CU927" s="259"/>
      <c r="CV927" s="259"/>
      <c r="CW927" s="259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  <c r="BD928" s="30"/>
      <c r="BE928" s="30"/>
      <c r="BF928" s="30"/>
      <c r="BG928" s="30"/>
      <c r="BH928" s="30"/>
      <c r="BI928" s="30"/>
      <c r="BJ928" s="30"/>
      <c r="BK928" s="30"/>
      <c r="BL928" s="30"/>
      <c r="BM928" s="30"/>
      <c r="BN928" s="30"/>
      <c r="BO928" s="259"/>
      <c r="BP928" s="259"/>
      <c r="BQ928" s="259"/>
      <c r="BR928" s="259"/>
      <c r="BS928" s="259"/>
      <c r="BT928" s="259"/>
      <c r="BU928" s="259"/>
      <c r="BV928" s="259"/>
      <c r="BW928" s="259"/>
      <c r="BX928" s="259"/>
      <c r="BY928" s="259"/>
      <c r="BZ928" s="260"/>
      <c r="CA928" s="259"/>
      <c r="CB928" s="259"/>
      <c r="CC928" s="259"/>
      <c r="CD928" s="259"/>
      <c r="CE928" s="259"/>
      <c r="CF928" s="259"/>
      <c r="CG928" s="259"/>
      <c r="CH928" s="259"/>
      <c r="CI928" s="259"/>
      <c r="CJ928" s="259"/>
      <c r="CK928" s="259"/>
      <c r="CL928" s="259"/>
      <c r="CM928" s="259"/>
      <c r="CN928" s="259"/>
      <c r="CO928" s="259"/>
      <c r="CP928" s="259"/>
      <c r="CQ928" s="259"/>
      <c r="CR928" s="259"/>
      <c r="CS928" s="259"/>
      <c r="CT928" s="259"/>
      <c r="CU928" s="259"/>
      <c r="CV928" s="259"/>
      <c r="CW928" s="259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  <c r="BC929" s="30"/>
      <c r="BD929" s="30"/>
      <c r="BE929" s="30"/>
      <c r="BF929" s="30"/>
      <c r="BG929" s="30"/>
      <c r="BH929" s="30"/>
      <c r="BI929" s="30"/>
      <c r="BJ929" s="30"/>
      <c r="BK929" s="30"/>
      <c r="BL929" s="30"/>
      <c r="BM929" s="30"/>
      <c r="BN929" s="30"/>
      <c r="BO929" s="259"/>
      <c r="BP929" s="259"/>
      <c r="BQ929" s="259"/>
      <c r="BR929" s="259"/>
      <c r="BS929" s="259"/>
      <c r="BT929" s="259"/>
      <c r="BU929" s="259"/>
      <c r="BV929" s="259"/>
      <c r="BW929" s="259"/>
      <c r="BX929" s="259"/>
      <c r="BY929" s="259"/>
      <c r="BZ929" s="260"/>
      <c r="CA929" s="259"/>
      <c r="CB929" s="259"/>
      <c r="CC929" s="259"/>
      <c r="CD929" s="259"/>
      <c r="CE929" s="259"/>
      <c r="CF929" s="259"/>
      <c r="CG929" s="259"/>
      <c r="CH929" s="259"/>
      <c r="CI929" s="259"/>
      <c r="CJ929" s="259"/>
      <c r="CK929" s="259"/>
      <c r="CL929" s="259"/>
      <c r="CM929" s="259"/>
      <c r="CN929" s="259"/>
      <c r="CO929" s="259"/>
      <c r="CP929" s="259"/>
      <c r="CQ929" s="259"/>
      <c r="CR929" s="259"/>
      <c r="CS929" s="259"/>
      <c r="CT929" s="259"/>
      <c r="CU929" s="259"/>
      <c r="CV929" s="259"/>
      <c r="CW929" s="259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  <c r="BC930" s="30"/>
      <c r="BD930" s="30"/>
      <c r="BE930" s="30"/>
      <c r="BF930" s="30"/>
      <c r="BG930" s="30"/>
      <c r="BH930" s="30"/>
      <c r="BI930" s="30"/>
      <c r="BJ930" s="30"/>
      <c r="BK930" s="30"/>
      <c r="BL930" s="30"/>
      <c r="BM930" s="30"/>
      <c r="BN930" s="30"/>
      <c r="BO930" s="259"/>
      <c r="BP930" s="259"/>
      <c r="BQ930" s="259"/>
      <c r="BR930" s="259"/>
      <c r="BS930" s="259"/>
      <c r="BT930" s="259"/>
      <c r="BU930" s="259"/>
      <c r="BV930" s="259"/>
      <c r="BW930" s="259"/>
      <c r="BX930" s="259"/>
      <c r="BY930" s="259"/>
      <c r="BZ930" s="260"/>
      <c r="CA930" s="259"/>
      <c r="CB930" s="259"/>
      <c r="CC930" s="259"/>
      <c r="CD930" s="259"/>
      <c r="CE930" s="259"/>
      <c r="CF930" s="259"/>
      <c r="CG930" s="259"/>
      <c r="CH930" s="259"/>
      <c r="CI930" s="259"/>
      <c r="CJ930" s="259"/>
      <c r="CK930" s="259"/>
      <c r="CL930" s="259"/>
      <c r="CM930" s="259"/>
      <c r="CN930" s="259"/>
      <c r="CO930" s="259"/>
      <c r="CP930" s="259"/>
      <c r="CQ930" s="259"/>
      <c r="CR930" s="259"/>
      <c r="CS930" s="259"/>
      <c r="CT930" s="259"/>
      <c r="CU930" s="259"/>
      <c r="CV930" s="259"/>
      <c r="CW930" s="259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  <c r="BB931" s="30"/>
      <c r="BC931" s="30"/>
      <c r="BD931" s="30"/>
      <c r="BE931" s="30"/>
      <c r="BF931" s="30"/>
      <c r="BG931" s="30"/>
      <c r="BH931" s="30"/>
      <c r="BI931" s="30"/>
      <c r="BJ931" s="30"/>
      <c r="BK931" s="30"/>
      <c r="BL931" s="30"/>
      <c r="BM931" s="30"/>
      <c r="BN931" s="30"/>
      <c r="BO931" s="259"/>
      <c r="BP931" s="259"/>
      <c r="BQ931" s="259"/>
      <c r="BR931" s="259"/>
      <c r="BS931" s="259"/>
      <c r="BT931" s="259"/>
      <c r="BU931" s="259"/>
      <c r="BV931" s="259"/>
      <c r="BW931" s="259"/>
      <c r="BX931" s="259"/>
      <c r="BY931" s="259"/>
      <c r="BZ931" s="260"/>
      <c r="CA931" s="259"/>
      <c r="CB931" s="259"/>
      <c r="CC931" s="259"/>
      <c r="CD931" s="259"/>
      <c r="CE931" s="259"/>
      <c r="CF931" s="259"/>
      <c r="CG931" s="259"/>
      <c r="CH931" s="259"/>
      <c r="CI931" s="259"/>
      <c r="CJ931" s="259"/>
      <c r="CK931" s="259"/>
      <c r="CL931" s="259"/>
      <c r="CM931" s="259"/>
      <c r="CN931" s="259"/>
      <c r="CO931" s="259"/>
      <c r="CP931" s="259"/>
      <c r="CQ931" s="259"/>
      <c r="CR931" s="259"/>
      <c r="CS931" s="259"/>
      <c r="CT931" s="259"/>
      <c r="CU931" s="259"/>
      <c r="CV931" s="259"/>
      <c r="CW931" s="259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  <c r="BD932" s="30"/>
      <c r="BE932" s="30"/>
      <c r="BF932" s="30"/>
      <c r="BG932" s="30"/>
      <c r="BH932" s="30"/>
      <c r="BI932" s="30"/>
      <c r="BJ932" s="30"/>
      <c r="BK932" s="30"/>
      <c r="BL932" s="30"/>
      <c r="BM932" s="30"/>
      <c r="BN932" s="30"/>
      <c r="BO932" s="259"/>
      <c r="BP932" s="259"/>
      <c r="BQ932" s="259"/>
      <c r="BR932" s="259"/>
      <c r="BS932" s="259"/>
      <c r="BT932" s="259"/>
      <c r="BU932" s="259"/>
      <c r="BV932" s="259"/>
      <c r="BW932" s="259"/>
      <c r="BX932" s="259"/>
      <c r="BY932" s="259"/>
      <c r="BZ932" s="260"/>
      <c r="CA932" s="259"/>
      <c r="CB932" s="259"/>
      <c r="CC932" s="259"/>
      <c r="CD932" s="259"/>
      <c r="CE932" s="259"/>
      <c r="CF932" s="259"/>
      <c r="CG932" s="259"/>
      <c r="CH932" s="259"/>
      <c r="CI932" s="259"/>
      <c r="CJ932" s="259"/>
      <c r="CK932" s="259"/>
      <c r="CL932" s="259"/>
      <c r="CM932" s="259"/>
      <c r="CN932" s="259"/>
      <c r="CO932" s="259"/>
      <c r="CP932" s="259"/>
      <c r="CQ932" s="259"/>
      <c r="CR932" s="259"/>
      <c r="CS932" s="259"/>
      <c r="CT932" s="259"/>
      <c r="CU932" s="259"/>
      <c r="CV932" s="259"/>
      <c r="CW932" s="259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  <c r="BC933" s="30"/>
      <c r="BD933" s="30"/>
      <c r="BE933" s="30"/>
      <c r="BF933" s="30"/>
      <c r="BG933" s="30"/>
      <c r="BH933" s="30"/>
      <c r="BI933" s="30"/>
      <c r="BJ933" s="30"/>
      <c r="BK933" s="30"/>
      <c r="BL933" s="30"/>
      <c r="BM933" s="30"/>
      <c r="BN933" s="30"/>
      <c r="BO933" s="259"/>
      <c r="BP933" s="259"/>
      <c r="BQ933" s="259"/>
      <c r="BR933" s="259"/>
      <c r="BS933" s="259"/>
      <c r="BT933" s="259"/>
      <c r="BU933" s="259"/>
      <c r="BV933" s="259"/>
      <c r="BW933" s="259"/>
      <c r="BX933" s="259"/>
      <c r="BY933" s="259"/>
      <c r="BZ933" s="260"/>
      <c r="CA933" s="259"/>
      <c r="CB933" s="259"/>
      <c r="CC933" s="259"/>
      <c r="CD933" s="259"/>
      <c r="CE933" s="259"/>
      <c r="CF933" s="259"/>
      <c r="CG933" s="259"/>
      <c r="CH933" s="259"/>
      <c r="CI933" s="259"/>
      <c r="CJ933" s="259"/>
      <c r="CK933" s="259"/>
      <c r="CL933" s="259"/>
      <c r="CM933" s="259"/>
      <c r="CN933" s="259"/>
      <c r="CO933" s="259"/>
      <c r="CP933" s="259"/>
      <c r="CQ933" s="259"/>
      <c r="CR933" s="259"/>
      <c r="CS933" s="259"/>
      <c r="CT933" s="259"/>
      <c r="CU933" s="259"/>
      <c r="CV933" s="259"/>
      <c r="CW933" s="259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  <c r="BF934" s="30"/>
      <c r="BG934" s="30"/>
      <c r="BH934" s="30"/>
      <c r="BI934" s="30"/>
      <c r="BJ934" s="30"/>
      <c r="BK934" s="30"/>
      <c r="BL934" s="30"/>
      <c r="BM934" s="30"/>
      <c r="BN934" s="30"/>
      <c r="BO934" s="259"/>
      <c r="BP934" s="259"/>
      <c r="BQ934" s="259"/>
      <c r="BR934" s="259"/>
      <c r="BS934" s="259"/>
      <c r="BT934" s="259"/>
      <c r="BU934" s="259"/>
      <c r="BV934" s="259"/>
      <c r="BW934" s="259"/>
      <c r="BX934" s="259"/>
      <c r="BY934" s="259"/>
      <c r="BZ934" s="260"/>
      <c r="CA934" s="259"/>
      <c r="CB934" s="259"/>
      <c r="CC934" s="259"/>
      <c r="CD934" s="259"/>
      <c r="CE934" s="259"/>
      <c r="CF934" s="259"/>
      <c r="CG934" s="259"/>
      <c r="CH934" s="259"/>
      <c r="CI934" s="259"/>
      <c r="CJ934" s="259"/>
      <c r="CK934" s="259"/>
      <c r="CL934" s="259"/>
      <c r="CM934" s="259"/>
      <c r="CN934" s="259"/>
      <c r="CO934" s="259"/>
      <c r="CP934" s="259"/>
      <c r="CQ934" s="259"/>
      <c r="CR934" s="259"/>
      <c r="CS934" s="259"/>
      <c r="CT934" s="259"/>
      <c r="CU934" s="259"/>
      <c r="CV934" s="259"/>
      <c r="CW934" s="259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  <c r="BC935" s="30"/>
      <c r="BD935" s="30"/>
      <c r="BE935" s="30"/>
      <c r="BF935" s="30"/>
      <c r="BG935" s="30"/>
      <c r="BH935" s="30"/>
      <c r="BI935" s="30"/>
      <c r="BJ935" s="30"/>
      <c r="BK935" s="30"/>
      <c r="BL935" s="30"/>
      <c r="BM935" s="30"/>
      <c r="BN935" s="30"/>
      <c r="BO935" s="259"/>
      <c r="BP935" s="259"/>
      <c r="BQ935" s="259"/>
      <c r="BR935" s="259"/>
      <c r="BS935" s="259"/>
      <c r="BT935" s="259"/>
      <c r="BU935" s="259"/>
      <c r="BV935" s="259"/>
      <c r="BW935" s="259"/>
      <c r="BX935" s="259"/>
      <c r="BY935" s="259"/>
      <c r="BZ935" s="260"/>
      <c r="CA935" s="259"/>
      <c r="CB935" s="259"/>
      <c r="CC935" s="259"/>
      <c r="CD935" s="259"/>
      <c r="CE935" s="259"/>
      <c r="CF935" s="259"/>
      <c r="CG935" s="259"/>
      <c r="CH935" s="259"/>
      <c r="CI935" s="259"/>
      <c r="CJ935" s="259"/>
      <c r="CK935" s="259"/>
      <c r="CL935" s="259"/>
      <c r="CM935" s="259"/>
      <c r="CN935" s="259"/>
      <c r="CO935" s="259"/>
      <c r="CP935" s="259"/>
      <c r="CQ935" s="259"/>
      <c r="CR935" s="259"/>
      <c r="CS935" s="259"/>
      <c r="CT935" s="259"/>
      <c r="CU935" s="259"/>
      <c r="CV935" s="259"/>
      <c r="CW935" s="259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  <c r="BD936" s="30"/>
      <c r="BE936" s="30"/>
      <c r="BF936" s="30"/>
      <c r="BG936" s="30"/>
      <c r="BH936" s="30"/>
      <c r="BI936" s="30"/>
      <c r="BJ936" s="30"/>
      <c r="BK936" s="30"/>
      <c r="BL936" s="30"/>
      <c r="BM936" s="30"/>
      <c r="BN936" s="30"/>
      <c r="BO936" s="259"/>
      <c r="BP936" s="259"/>
      <c r="BQ936" s="259"/>
      <c r="BR936" s="259"/>
      <c r="BS936" s="259"/>
      <c r="BT936" s="259"/>
      <c r="BU936" s="259"/>
      <c r="BV936" s="259"/>
      <c r="BW936" s="259"/>
      <c r="BX936" s="259"/>
      <c r="BY936" s="259"/>
      <c r="BZ936" s="260"/>
      <c r="CA936" s="259"/>
      <c r="CB936" s="259"/>
      <c r="CC936" s="259"/>
      <c r="CD936" s="259"/>
      <c r="CE936" s="259"/>
      <c r="CF936" s="259"/>
      <c r="CG936" s="259"/>
      <c r="CH936" s="259"/>
      <c r="CI936" s="259"/>
      <c r="CJ936" s="259"/>
      <c r="CK936" s="259"/>
      <c r="CL936" s="259"/>
      <c r="CM936" s="259"/>
      <c r="CN936" s="259"/>
      <c r="CO936" s="259"/>
      <c r="CP936" s="259"/>
      <c r="CQ936" s="259"/>
      <c r="CR936" s="259"/>
      <c r="CS936" s="259"/>
      <c r="CT936" s="259"/>
      <c r="CU936" s="259"/>
      <c r="CV936" s="259"/>
      <c r="CW936" s="259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  <c r="BD937" s="30"/>
      <c r="BE937" s="30"/>
      <c r="BF937" s="30"/>
      <c r="BG937" s="30"/>
      <c r="BH937" s="30"/>
      <c r="BI937" s="30"/>
      <c r="BJ937" s="30"/>
      <c r="BK937" s="30"/>
      <c r="BL937" s="30"/>
      <c r="BM937" s="30"/>
      <c r="BN937" s="30"/>
      <c r="BO937" s="259"/>
      <c r="BP937" s="259"/>
      <c r="BQ937" s="259"/>
      <c r="BR937" s="259"/>
      <c r="BS937" s="259"/>
      <c r="BT937" s="259"/>
      <c r="BU937" s="259"/>
      <c r="BV937" s="259"/>
      <c r="BW937" s="259"/>
      <c r="BX937" s="259"/>
      <c r="BY937" s="259"/>
      <c r="BZ937" s="260"/>
      <c r="CA937" s="259"/>
      <c r="CB937" s="259"/>
      <c r="CC937" s="259"/>
      <c r="CD937" s="259"/>
      <c r="CE937" s="259"/>
      <c r="CF937" s="259"/>
      <c r="CG937" s="259"/>
      <c r="CH937" s="259"/>
      <c r="CI937" s="259"/>
      <c r="CJ937" s="259"/>
      <c r="CK937" s="259"/>
      <c r="CL937" s="259"/>
      <c r="CM937" s="259"/>
      <c r="CN937" s="259"/>
      <c r="CO937" s="259"/>
      <c r="CP937" s="259"/>
      <c r="CQ937" s="259"/>
      <c r="CR937" s="259"/>
      <c r="CS937" s="259"/>
      <c r="CT937" s="259"/>
      <c r="CU937" s="259"/>
      <c r="CV937" s="259"/>
      <c r="CW937" s="259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  <c r="BD938" s="30"/>
      <c r="BE938" s="30"/>
      <c r="BF938" s="30"/>
      <c r="BG938" s="30"/>
      <c r="BH938" s="30"/>
      <c r="BI938" s="30"/>
      <c r="BJ938" s="30"/>
      <c r="BK938" s="30"/>
      <c r="BL938" s="30"/>
      <c r="BM938" s="30"/>
      <c r="BN938" s="30"/>
      <c r="BO938" s="259"/>
      <c r="BP938" s="259"/>
      <c r="BQ938" s="259"/>
      <c r="BR938" s="259"/>
      <c r="BS938" s="259"/>
      <c r="BT938" s="259"/>
      <c r="BU938" s="259"/>
      <c r="BV938" s="259"/>
      <c r="BW938" s="259"/>
      <c r="BX938" s="259"/>
      <c r="BY938" s="259"/>
      <c r="BZ938" s="260"/>
      <c r="CA938" s="259"/>
      <c r="CB938" s="259"/>
      <c r="CC938" s="259"/>
      <c r="CD938" s="259"/>
      <c r="CE938" s="259"/>
      <c r="CF938" s="259"/>
      <c r="CG938" s="259"/>
      <c r="CH938" s="259"/>
      <c r="CI938" s="259"/>
      <c r="CJ938" s="259"/>
      <c r="CK938" s="259"/>
      <c r="CL938" s="259"/>
      <c r="CM938" s="259"/>
      <c r="CN938" s="259"/>
      <c r="CO938" s="259"/>
      <c r="CP938" s="259"/>
      <c r="CQ938" s="259"/>
      <c r="CR938" s="259"/>
      <c r="CS938" s="259"/>
      <c r="CT938" s="259"/>
      <c r="CU938" s="259"/>
      <c r="CV938" s="259"/>
      <c r="CW938" s="259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  <c r="BC939" s="30"/>
      <c r="BD939" s="30"/>
      <c r="BE939" s="30"/>
      <c r="BF939" s="30"/>
      <c r="BG939" s="30"/>
      <c r="BH939" s="30"/>
      <c r="BI939" s="30"/>
      <c r="BJ939" s="30"/>
      <c r="BK939" s="30"/>
      <c r="BL939" s="30"/>
      <c r="BM939" s="30"/>
      <c r="BN939" s="30"/>
      <c r="BO939" s="259"/>
      <c r="BP939" s="259"/>
      <c r="BQ939" s="259"/>
      <c r="BR939" s="259"/>
      <c r="BS939" s="259"/>
      <c r="BT939" s="259"/>
      <c r="BU939" s="259"/>
      <c r="BV939" s="259"/>
      <c r="BW939" s="259"/>
      <c r="BX939" s="259"/>
      <c r="BY939" s="259"/>
      <c r="BZ939" s="260"/>
      <c r="CA939" s="259"/>
      <c r="CB939" s="259"/>
      <c r="CC939" s="259"/>
      <c r="CD939" s="259"/>
      <c r="CE939" s="259"/>
      <c r="CF939" s="259"/>
      <c r="CG939" s="259"/>
      <c r="CH939" s="259"/>
      <c r="CI939" s="259"/>
      <c r="CJ939" s="259"/>
      <c r="CK939" s="259"/>
      <c r="CL939" s="259"/>
      <c r="CM939" s="259"/>
      <c r="CN939" s="259"/>
      <c r="CO939" s="259"/>
      <c r="CP939" s="259"/>
      <c r="CQ939" s="259"/>
      <c r="CR939" s="259"/>
      <c r="CS939" s="259"/>
      <c r="CT939" s="259"/>
      <c r="CU939" s="259"/>
      <c r="CV939" s="259"/>
      <c r="CW939" s="259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  <c r="BD940" s="30"/>
      <c r="BE940" s="30"/>
      <c r="BF940" s="30"/>
      <c r="BG940" s="30"/>
      <c r="BH940" s="30"/>
      <c r="BI940" s="30"/>
      <c r="BJ940" s="30"/>
      <c r="BK940" s="30"/>
      <c r="BL940" s="30"/>
      <c r="BM940" s="30"/>
      <c r="BN940" s="30"/>
      <c r="BO940" s="259"/>
      <c r="BP940" s="259"/>
      <c r="BQ940" s="259"/>
      <c r="BR940" s="259"/>
      <c r="BS940" s="259"/>
      <c r="BT940" s="259"/>
      <c r="BU940" s="259"/>
      <c r="BV940" s="259"/>
      <c r="BW940" s="259"/>
      <c r="BX940" s="259"/>
      <c r="BY940" s="259"/>
      <c r="BZ940" s="260"/>
      <c r="CA940" s="259"/>
      <c r="CB940" s="259"/>
      <c r="CC940" s="259"/>
      <c r="CD940" s="259"/>
      <c r="CE940" s="259"/>
      <c r="CF940" s="259"/>
      <c r="CG940" s="259"/>
      <c r="CH940" s="259"/>
      <c r="CI940" s="259"/>
      <c r="CJ940" s="259"/>
      <c r="CK940" s="259"/>
      <c r="CL940" s="259"/>
      <c r="CM940" s="259"/>
      <c r="CN940" s="259"/>
      <c r="CO940" s="259"/>
      <c r="CP940" s="259"/>
      <c r="CQ940" s="259"/>
      <c r="CR940" s="259"/>
      <c r="CS940" s="259"/>
      <c r="CT940" s="259"/>
      <c r="CU940" s="259"/>
      <c r="CV940" s="259"/>
      <c r="CW940" s="259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  <c r="BD941" s="30"/>
      <c r="BE941" s="30"/>
      <c r="BF941" s="30"/>
      <c r="BG941" s="30"/>
      <c r="BH941" s="30"/>
      <c r="BI941" s="30"/>
      <c r="BJ941" s="30"/>
      <c r="BK941" s="30"/>
      <c r="BL941" s="30"/>
      <c r="BM941" s="30"/>
      <c r="BN941" s="30"/>
      <c r="BO941" s="259"/>
      <c r="BP941" s="259"/>
      <c r="BQ941" s="259"/>
      <c r="BR941" s="259"/>
      <c r="BS941" s="259"/>
      <c r="BT941" s="259"/>
      <c r="BU941" s="259"/>
      <c r="BV941" s="259"/>
      <c r="BW941" s="259"/>
      <c r="BX941" s="259"/>
      <c r="BY941" s="259"/>
      <c r="BZ941" s="260"/>
      <c r="CA941" s="259"/>
      <c r="CB941" s="259"/>
      <c r="CC941" s="259"/>
      <c r="CD941" s="259"/>
      <c r="CE941" s="259"/>
      <c r="CF941" s="259"/>
      <c r="CG941" s="259"/>
      <c r="CH941" s="259"/>
      <c r="CI941" s="259"/>
      <c r="CJ941" s="259"/>
      <c r="CK941" s="259"/>
      <c r="CL941" s="259"/>
      <c r="CM941" s="259"/>
      <c r="CN941" s="259"/>
      <c r="CO941" s="259"/>
      <c r="CP941" s="259"/>
      <c r="CQ941" s="259"/>
      <c r="CR941" s="259"/>
      <c r="CS941" s="259"/>
      <c r="CT941" s="259"/>
      <c r="CU941" s="259"/>
      <c r="CV941" s="259"/>
      <c r="CW941" s="259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  <c r="BD942" s="30"/>
      <c r="BE942" s="30"/>
      <c r="BF942" s="30"/>
      <c r="BG942" s="30"/>
      <c r="BH942" s="30"/>
      <c r="BI942" s="30"/>
      <c r="BJ942" s="30"/>
      <c r="BK942" s="30"/>
      <c r="BL942" s="30"/>
      <c r="BM942" s="30"/>
      <c r="BN942" s="30"/>
      <c r="BO942" s="259"/>
      <c r="BP942" s="259"/>
      <c r="BQ942" s="259"/>
      <c r="BR942" s="259"/>
      <c r="BS942" s="259"/>
      <c r="BT942" s="259"/>
      <c r="BU942" s="259"/>
      <c r="BV942" s="259"/>
      <c r="BW942" s="259"/>
      <c r="BX942" s="259"/>
      <c r="BY942" s="259"/>
      <c r="BZ942" s="260"/>
      <c r="CA942" s="259"/>
      <c r="CB942" s="259"/>
      <c r="CC942" s="259"/>
      <c r="CD942" s="259"/>
      <c r="CE942" s="259"/>
      <c r="CF942" s="259"/>
      <c r="CG942" s="259"/>
      <c r="CH942" s="259"/>
      <c r="CI942" s="259"/>
      <c r="CJ942" s="259"/>
      <c r="CK942" s="259"/>
      <c r="CL942" s="259"/>
      <c r="CM942" s="259"/>
      <c r="CN942" s="259"/>
      <c r="CO942" s="259"/>
      <c r="CP942" s="259"/>
      <c r="CQ942" s="259"/>
      <c r="CR942" s="259"/>
      <c r="CS942" s="259"/>
      <c r="CT942" s="259"/>
      <c r="CU942" s="259"/>
      <c r="CV942" s="259"/>
      <c r="CW942" s="259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  <c r="BD943" s="30"/>
      <c r="BE943" s="30"/>
      <c r="BF943" s="30"/>
      <c r="BG943" s="30"/>
      <c r="BH943" s="30"/>
      <c r="BI943" s="30"/>
      <c r="BJ943" s="30"/>
      <c r="BK943" s="30"/>
      <c r="BL943" s="30"/>
      <c r="BM943" s="30"/>
      <c r="BN943" s="30"/>
      <c r="BO943" s="259"/>
      <c r="BP943" s="259"/>
      <c r="BQ943" s="259"/>
      <c r="BR943" s="259"/>
      <c r="BS943" s="259"/>
      <c r="BT943" s="259"/>
      <c r="BU943" s="259"/>
      <c r="BV943" s="259"/>
      <c r="BW943" s="259"/>
      <c r="BX943" s="259"/>
      <c r="BY943" s="259"/>
      <c r="BZ943" s="260"/>
      <c r="CA943" s="259"/>
      <c r="CB943" s="259"/>
      <c r="CC943" s="259"/>
      <c r="CD943" s="259"/>
      <c r="CE943" s="259"/>
      <c r="CF943" s="259"/>
      <c r="CG943" s="259"/>
      <c r="CH943" s="259"/>
      <c r="CI943" s="259"/>
      <c r="CJ943" s="259"/>
      <c r="CK943" s="259"/>
      <c r="CL943" s="259"/>
      <c r="CM943" s="259"/>
      <c r="CN943" s="259"/>
      <c r="CO943" s="259"/>
      <c r="CP943" s="259"/>
      <c r="CQ943" s="259"/>
      <c r="CR943" s="259"/>
      <c r="CS943" s="259"/>
      <c r="CT943" s="259"/>
      <c r="CU943" s="259"/>
      <c r="CV943" s="259"/>
      <c r="CW943" s="259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  <c r="BC944" s="30"/>
      <c r="BD944" s="30"/>
      <c r="BE944" s="30"/>
      <c r="BF944" s="30"/>
      <c r="BG944" s="30"/>
      <c r="BH944" s="30"/>
      <c r="BI944" s="30"/>
      <c r="BJ944" s="30"/>
      <c r="BK944" s="30"/>
      <c r="BL944" s="30"/>
      <c r="BM944" s="30"/>
      <c r="BN944" s="30"/>
      <c r="BO944" s="259"/>
      <c r="BP944" s="259"/>
      <c r="BQ944" s="259"/>
      <c r="BR944" s="259"/>
      <c r="BS944" s="259"/>
      <c r="BT944" s="259"/>
      <c r="BU944" s="259"/>
      <c r="BV944" s="259"/>
      <c r="BW944" s="259"/>
      <c r="BX944" s="259"/>
      <c r="BY944" s="259"/>
      <c r="BZ944" s="260"/>
      <c r="CA944" s="259"/>
      <c r="CB944" s="259"/>
      <c r="CC944" s="259"/>
      <c r="CD944" s="259"/>
      <c r="CE944" s="259"/>
      <c r="CF944" s="259"/>
      <c r="CG944" s="259"/>
      <c r="CH944" s="259"/>
      <c r="CI944" s="259"/>
      <c r="CJ944" s="259"/>
      <c r="CK944" s="259"/>
      <c r="CL944" s="259"/>
      <c r="CM944" s="259"/>
      <c r="CN944" s="259"/>
      <c r="CO944" s="259"/>
      <c r="CP944" s="259"/>
      <c r="CQ944" s="259"/>
      <c r="CR944" s="259"/>
      <c r="CS944" s="259"/>
      <c r="CT944" s="259"/>
      <c r="CU944" s="259"/>
      <c r="CV944" s="259"/>
      <c r="CW944" s="259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  <c r="BB945" s="30"/>
      <c r="BC945" s="30"/>
      <c r="BD945" s="30"/>
      <c r="BE945" s="30"/>
      <c r="BF945" s="30"/>
      <c r="BG945" s="30"/>
      <c r="BH945" s="30"/>
      <c r="BI945" s="30"/>
      <c r="BJ945" s="30"/>
      <c r="BK945" s="30"/>
      <c r="BL945" s="30"/>
      <c r="BM945" s="30"/>
      <c r="BN945" s="30"/>
      <c r="BO945" s="259"/>
      <c r="BP945" s="259"/>
      <c r="BQ945" s="259"/>
      <c r="BR945" s="259"/>
      <c r="BS945" s="259"/>
      <c r="BT945" s="259"/>
      <c r="BU945" s="259"/>
      <c r="BV945" s="259"/>
      <c r="BW945" s="259"/>
      <c r="BX945" s="259"/>
      <c r="BY945" s="259"/>
      <c r="BZ945" s="260"/>
      <c r="CA945" s="259"/>
      <c r="CB945" s="259"/>
      <c r="CC945" s="259"/>
      <c r="CD945" s="259"/>
      <c r="CE945" s="259"/>
      <c r="CF945" s="259"/>
      <c r="CG945" s="259"/>
      <c r="CH945" s="259"/>
      <c r="CI945" s="259"/>
      <c r="CJ945" s="259"/>
      <c r="CK945" s="259"/>
      <c r="CL945" s="259"/>
      <c r="CM945" s="259"/>
      <c r="CN945" s="259"/>
      <c r="CO945" s="259"/>
      <c r="CP945" s="259"/>
      <c r="CQ945" s="259"/>
      <c r="CR945" s="259"/>
      <c r="CS945" s="259"/>
      <c r="CT945" s="259"/>
      <c r="CU945" s="259"/>
      <c r="CV945" s="259"/>
      <c r="CW945" s="259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  <c r="BB946" s="30"/>
      <c r="BC946" s="30"/>
      <c r="BD946" s="30"/>
      <c r="BE946" s="30"/>
      <c r="BF946" s="30"/>
      <c r="BG946" s="30"/>
      <c r="BH946" s="30"/>
      <c r="BI946" s="30"/>
      <c r="BJ946" s="30"/>
      <c r="BK946" s="30"/>
      <c r="BL946" s="30"/>
      <c r="BM946" s="30"/>
      <c r="BN946" s="30"/>
      <c r="BO946" s="259"/>
      <c r="BP946" s="259"/>
      <c r="BQ946" s="259"/>
      <c r="BR946" s="259"/>
      <c r="BS946" s="259"/>
      <c r="BT946" s="259"/>
      <c r="BU946" s="259"/>
      <c r="BV946" s="259"/>
      <c r="BW946" s="259"/>
      <c r="BX946" s="259"/>
      <c r="BY946" s="259"/>
      <c r="BZ946" s="260"/>
      <c r="CA946" s="259"/>
      <c r="CB946" s="259"/>
      <c r="CC946" s="259"/>
      <c r="CD946" s="259"/>
      <c r="CE946" s="259"/>
      <c r="CF946" s="259"/>
      <c r="CG946" s="259"/>
      <c r="CH946" s="259"/>
      <c r="CI946" s="259"/>
      <c r="CJ946" s="259"/>
      <c r="CK946" s="259"/>
      <c r="CL946" s="259"/>
      <c r="CM946" s="259"/>
      <c r="CN946" s="259"/>
      <c r="CO946" s="259"/>
      <c r="CP946" s="259"/>
      <c r="CQ946" s="259"/>
      <c r="CR946" s="259"/>
      <c r="CS946" s="259"/>
      <c r="CT946" s="259"/>
      <c r="CU946" s="259"/>
      <c r="CV946" s="259"/>
      <c r="CW946" s="259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  <c r="BA947" s="30"/>
      <c r="BB947" s="30"/>
      <c r="BC947" s="30"/>
      <c r="BD947" s="30"/>
      <c r="BE947" s="30"/>
      <c r="BF947" s="30"/>
      <c r="BG947" s="30"/>
      <c r="BH947" s="30"/>
      <c r="BI947" s="30"/>
      <c r="BJ947" s="30"/>
      <c r="BK947" s="30"/>
      <c r="BL947" s="30"/>
      <c r="BM947" s="30"/>
      <c r="BN947" s="30"/>
      <c r="BO947" s="259"/>
      <c r="BP947" s="259"/>
      <c r="BQ947" s="259"/>
      <c r="BR947" s="259"/>
      <c r="BS947" s="259"/>
      <c r="BT947" s="259"/>
      <c r="BU947" s="259"/>
      <c r="BV947" s="259"/>
      <c r="BW947" s="259"/>
      <c r="BX947" s="259"/>
      <c r="BY947" s="259"/>
      <c r="BZ947" s="260"/>
      <c r="CA947" s="259"/>
      <c r="CB947" s="259"/>
      <c r="CC947" s="259"/>
      <c r="CD947" s="259"/>
      <c r="CE947" s="259"/>
      <c r="CF947" s="259"/>
      <c r="CG947" s="259"/>
      <c r="CH947" s="259"/>
      <c r="CI947" s="259"/>
      <c r="CJ947" s="259"/>
      <c r="CK947" s="259"/>
      <c r="CL947" s="259"/>
      <c r="CM947" s="259"/>
      <c r="CN947" s="259"/>
      <c r="CO947" s="259"/>
      <c r="CP947" s="259"/>
      <c r="CQ947" s="259"/>
      <c r="CR947" s="259"/>
      <c r="CS947" s="259"/>
      <c r="CT947" s="259"/>
      <c r="CU947" s="259"/>
      <c r="CV947" s="259"/>
      <c r="CW947" s="259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  <c r="BC948" s="30"/>
      <c r="BD948" s="30"/>
      <c r="BE948" s="30"/>
      <c r="BF948" s="30"/>
      <c r="BG948" s="30"/>
      <c r="BH948" s="30"/>
      <c r="BI948" s="30"/>
      <c r="BJ948" s="30"/>
      <c r="BK948" s="30"/>
      <c r="BL948" s="30"/>
      <c r="BM948" s="30"/>
      <c r="BN948" s="30"/>
      <c r="BO948" s="259"/>
      <c r="BP948" s="259"/>
      <c r="BQ948" s="259"/>
      <c r="BR948" s="259"/>
      <c r="BS948" s="259"/>
      <c r="BT948" s="259"/>
      <c r="BU948" s="259"/>
      <c r="BV948" s="259"/>
      <c r="BW948" s="259"/>
      <c r="BX948" s="259"/>
      <c r="BY948" s="259"/>
      <c r="BZ948" s="260"/>
      <c r="CA948" s="259"/>
      <c r="CB948" s="259"/>
      <c r="CC948" s="259"/>
      <c r="CD948" s="259"/>
      <c r="CE948" s="259"/>
      <c r="CF948" s="259"/>
      <c r="CG948" s="259"/>
      <c r="CH948" s="259"/>
      <c r="CI948" s="259"/>
      <c r="CJ948" s="259"/>
      <c r="CK948" s="259"/>
      <c r="CL948" s="259"/>
      <c r="CM948" s="259"/>
      <c r="CN948" s="259"/>
      <c r="CO948" s="259"/>
      <c r="CP948" s="259"/>
      <c r="CQ948" s="259"/>
      <c r="CR948" s="259"/>
      <c r="CS948" s="259"/>
      <c r="CT948" s="259"/>
      <c r="CU948" s="259"/>
      <c r="CV948" s="259"/>
      <c r="CW948" s="259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  <c r="BB949" s="30"/>
      <c r="BC949" s="30"/>
      <c r="BD949" s="30"/>
      <c r="BE949" s="30"/>
      <c r="BF949" s="30"/>
      <c r="BG949" s="30"/>
      <c r="BH949" s="30"/>
      <c r="BI949" s="30"/>
      <c r="BJ949" s="30"/>
      <c r="BK949" s="30"/>
      <c r="BL949" s="30"/>
      <c r="BM949" s="30"/>
      <c r="BN949" s="30"/>
      <c r="BO949" s="259"/>
      <c r="BP949" s="259"/>
      <c r="BQ949" s="259"/>
      <c r="BR949" s="259"/>
      <c r="BS949" s="259"/>
      <c r="BT949" s="259"/>
      <c r="BU949" s="259"/>
      <c r="BV949" s="259"/>
      <c r="BW949" s="259"/>
      <c r="BX949" s="259"/>
      <c r="BY949" s="259"/>
      <c r="BZ949" s="260"/>
      <c r="CA949" s="259"/>
      <c r="CB949" s="259"/>
      <c r="CC949" s="259"/>
      <c r="CD949" s="259"/>
      <c r="CE949" s="259"/>
      <c r="CF949" s="259"/>
      <c r="CG949" s="259"/>
      <c r="CH949" s="259"/>
      <c r="CI949" s="259"/>
      <c r="CJ949" s="259"/>
      <c r="CK949" s="259"/>
      <c r="CL949" s="259"/>
      <c r="CM949" s="259"/>
      <c r="CN949" s="259"/>
      <c r="CO949" s="259"/>
      <c r="CP949" s="259"/>
      <c r="CQ949" s="259"/>
      <c r="CR949" s="259"/>
      <c r="CS949" s="259"/>
      <c r="CT949" s="259"/>
      <c r="CU949" s="259"/>
      <c r="CV949" s="259"/>
      <c r="CW949" s="259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  <c r="BC950" s="30"/>
      <c r="BD950" s="30"/>
      <c r="BE950" s="30"/>
      <c r="BF950" s="30"/>
      <c r="BG950" s="30"/>
      <c r="BH950" s="30"/>
      <c r="BI950" s="30"/>
      <c r="BJ950" s="30"/>
      <c r="BK950" s="30"/>
      <c r="BL950" s="30"/>
      <c r="BM950" s="30"/>
      <c r="BN950" s="30"/>
      <c r="BO950" s="259"/>
      <c r="BP950" s="259"/>
      <c r="BQ950" s="259"/>
      <c r="BR950" s="259"/>
      <c r="BS950" s="259"/>
      <c r="BT950" s="259"/>
      <c r="BU950" s="259"/>
      <c r="BV950" s="259"/>
      <c r="BW950" s="259"/>
      <c r="BX950" s="259"/>
      <c r="BY950" s="259"/>
      <c r="BZ950" s="260"/>
      <c r="CA950" s="259"/>
      <c r="CB950" s="259"/>
      <c r="CC950" s="259"/>
      <c r="CD950" s="259"/>
      <c r="CE950" s="259"/>
      <c r="CF950" s="259"/>
      <c r="CG950" s="259"/>
      <c r="CH950" s="259"/>
      <c r="CI950" s="259"/>
      <c r="CJ950" s="259"/>
      <c r="CK950" s="259"/>
      <c r="CL950" s="259"/>
      <c r="CM950" s="259"/>
      <c r="CN950" s="259"/>
      <c r="CO950" s="259"/>
      <c r="CP950" s="259"/>
      <c r="CQ950" s="259"/>
      <c r="CR950" s="259"/>
      <c r="CS950" s="259"/>
      <c r="CT950" s="259"/>
      <c r="CU950" s="259"/>
      <c r="CV950" s="259"/>
      <c r="CW950" s="259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  <c r="BA951" s="30"/>
      <c r="BB951" s="30"/>
      <c r="BC951" s="30"/>
      <c r="BD951" s="30"/>
      <c r="BE951" s="30"/>
      <c r="BF951" s="30"/>
      <c r="BG951" s="30"/>
      <c r="BH951" s="30"/>
      <c r="BI951" s="30"/>
      <c r="BJ951" s="30"/>
      <c r="BK951" s="30"/>
      <c r="BL951" s="30"/>
      <c r="BM951" s="30"/>
      <c r="BN951" s="30"/>
      <c r="BO951" s="259"/>
      <c r="BP951" s="259"/>
      <c r="BQ951" s="259"/>
      <c r="BR951" s="259"/>
      <c r="BS951" s="259"/>
      <c r="BT951" s="259"/>
      <c r="BU951" s="259"/>
      <c r="BV951" s="259"/>
      <c r="BW951" s="259"/>
      <c r="BX951" s="259"/>
      <c r="BY951" s="259"/>
      <c r="BZ951" s="260"/>
      <c r="CA951" s="259"/>
      <c r="CB951" s="259"/>
      <c r="CC951" s="259"/>
      <c r="CD951" s="259"/>
      <c r="CE951" s="259"/>
      <c r="CF951" s="259"/>
      <c r="CG951" s="259"/>
      <c r="CH951" s="259"/>
      <c r="CI951" s="259"/>
      <c r="CJ951" s="259"/>
      <c r="CK951" s="259"/>
      <c r="CL951" s="259"/>
      <c r="CM951" s="259"/>
      <c r="CN951" s="259"/>
      <c r="CO951" s="259"/>
      <c r="CP951" s="259"/>
      <c r="CQ951" s="259"/>
      <c r="CR951" s="259"/>
      <c r="CS951" s="259"/>
      <c r="CT951" s="259"/>
      <c r="CU951" s="259"/>
      <c r="CV951" s="259"/>
      <c r="CW951" s="259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  <c r="BD952" s="30"/>
      <c r="BE952" s="30"/>
      <c r="BF952" s="30"/>
      <c r="BG952" s="30"/>
      <c r="BH952" s="30"/>
      <c r="BI952" s="30"/>
      <c r="BJ952" s="30"/>
      <c r="BK952" s="30"/>
      <c r="BL952" s="30"/>
      <c r="BM952" s="30"/>
      <c r="BN952" s="30"/>
      <c r="BO952" s="259"/>
      <c r="BP952" s="259"/>
      <c r="BQ952" s="259"/>
      <c r="BR952" s="259"/>
      <c r="BS952" s="259"/>
      <c r="BT952" s="259"/>
      <c r="BU952" s="259"/>
      <c r="BV952" s="259"/>
      <c r="BW952" s="259"/>
      <c r="BX952" s="259"/>
      <c r="BY952" s="259"/>
      <c r="BZ952" s="260"/>
      <c r="CA952" s="259"/>
      <c r="CB952" s="259"/>
      <c r="CC952" s="259"/>
      <c r="CD952" s="259"/>
      <c r="CE952" s="259"/>
      <c r="CF952" s="259"/>
      <c r="CG952" s="259"/>
      <c r="CH952" s="259"/>
      <c r="CI952" s="259"/>
      <c r="CJ952" s="259"/>
      <c r="CK952" s="259"/>
      <c r="CL952" s="259"/>
      <c r="CM952" s="259"/>
      <c r="CN952" s="259"/>
      <c r="CO952" s="259"/>
      <c r="CP952" s="259"/>
      <c r="CQ952" s="259"/>
      <c r="CR952" s="259"/>
      <c r="CS952" s="259"/>
      <c r="CT952" s="259"/>
      <c r="CU952" s="259"/>
      <c r="CV952" s="259"/>
      <c r="CW952" s="259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  <c r="BA953" s="30"/>
      <c r="BB953" s="30"/>
      <c r="BC953" s="30"/>
      <c r="BD953" s="30"/>
      <c r="BE953" s="30"/>
      <c r="BF953" s="30"/>
      <c r="BG953" s="30"/>
      <c r="BH953" s="30"/>
      <c r="BI953" s="30"/>
      <c r="BJ953" s="30"/>
      <c r="BK953" s="30"/>
      <c r="BL953" s="30"/>
      <c r="BM953" s="30"/>
      <c r="BN953" s="30"/>
      <c r="BO953" s="259"/>
      <c r="BP953" s="259"/>
      <c r="BQ953" s="259"/>
      <c r="BR953" s="259"/>
      <c r="BS953" s="259"/>
      <c r="BT953" s="259"/>
      <c r="BU953" s="259"/>
      <c r="BV953" s="259"/>
      <c r="BW953" s="259"/>
      <c r="BX953" s="259"/>
      <c r="BY953" s="259"/>
      <c r="BZ953" s="260"/>
      <c r="CA953" s="259"/>
      <c r="CB953" s="259"/>
      <c r="CC953" s="259"/>
      <c r="CD953" s="259"/>
      <c r="CE953" s="259"/>
      <c r="CF953" s="259"/>
      <c r="CG953" s="259"/>
      <c r="CH953" s="259"/>
      <c r="CI953" s="259"/>
      <c r="CJ953" s="259"/>
      <c r="CK953" s="259"/>
      <c r="CL953" s="259"/>
      <c r="CM953" s="259"/>
      <c r="CN953" s="259"/>
      <c r="CO953" s="259"/>
      <c r="CP953" s="259"/>
      <c r="CQ953" s="259"/>
      <c r="CR953" s="259"/>
      <c r="CS953" s="259"/>
      <c r="CT953" s="259"/>
      <c r="CU953" s="259"/>
      <c r="CV953" s="259"/>
      <c r="CW953" s="259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  <c r="BB954" s="30"/>
      <c r="BC954" s="30"/>
      <c r="BD954" s="30"/>
      <c r="BE954" s="30"/>
      <c r="BF954" s="30"/>
      <c r="BG954" s="30"/>
      <c r="BH954" s="30"/>
      <c r="BI954" s="30"/>
      <c r="BJ954" s="30"/>
      <c r="BK954" s="30"/>
      <c r="BL954" s="30"/>
      <c r="BM954" s="30"/>
      <c r="BN954" s="30"/>
      <c r="BO954" s="259"/>
      <c r="BP954" s="259"/>
      <c r="BQ954" s="259"/>
      <c r="BR954" s="259"/>
      <c r="BS954" s="259"/>
      <c r="BT954" s="259"/>
      <c r="BU954" s="259"/>
      <c r="BV954" s="259"/>
      <c r="BW954" s="259"/>
      <c r="BX954" s="259"/>
      <c r="BY954" s="259"/>
      <c r="BZ954" s="260"/>
      <c r="CA954" s="259"/>
      <c r="CB954" s="259"/>
      <c r="CC954" s="259"/>
      <c r="CD954" s="259"/>
      <c r="CE954" s="259"/>
      <c r="CF954" s="259"/>
      <c r="CG954" s="259"/>
      <c r="CH954" s="259"/>
      <c r="CI954" s="259"/>
      <c r="CJ954" s="259"/>
      <c r="CK954" s="259"/>
      <c r="CL954" s="259"/>
      <c r="CM954" s="259"/>
      <c r="CN954" s="259"/>
      <c r="CO954" s="259"/>
      <c r="CP954" s="259"/>
      <c r="CQ954" s="259"/>
      <c r="CR954" s="259"/>
      <c r="CS954" s="259"/>
      <c r="CT954" s="259"/>
      <c r="CU954" s="259"/>
      <c r="CV954" s="259"/>
      <c r="CW954" s="259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  <c r="BD955" s="30"/>
      <c r="BE955" s="30"/>
      <c r="BF955" s="30"/>
      <c r="BG955" s="30"/>
      <c r="BH955" s="30"/>
      <c r="BI955" s="30"/>
      <c r="BJ955" s="30"/>
      <c r="BK955" s="30"/>
      <c r="BL955" s="30"/>
      <c r="BM955" s="30"/>
      <c r="BN955" s="30"/>
      <c r="BO955" s="259"/>
      <c r="BP955" s="259"/>
      <c r="BQ955" s="259"/>
      <c r="BR955" s="259"/>
      <c r="BS955" s="259"/>
      <c r="BT955" s="259"/>
      <c r="BU955" s="259"/>
      <c r="BV955" s="259"/>
      <c r="BW955" s="259"/>
      <c r="BX955" s="259"/>
      <c r="BY955" s="259"/>
      <c r="BZ955" s="260"/>
      <c r="CA955" s="259"/>
      <c r="CB955" s="259"/>
      <c r="CC955" s="259"/>
      <c r="CD955" s="259"/>
      <c r="CE955" s="259"/>
      <c r="CF955" s="259"/>
      <c r="CG955" s="259"/>
      <c r="CH955" s="259"/>
      <c r="CI955" s="259"/>
      <c r="CJ955" s="259"/>
      <c r="CK955" s="259"/>
      <c r="CL955" s="259"/>
      <c r="CM955" s="259"/>
      <c r="CN955" s="259"/>
      <c r="CO955" s="259"/>
      <c r="CP955" s="259"/>
      <c r="CQ955" s="259"/>
      <c r="CR955" s="259"/>
      <c r="CS955" s="259"/>
      <c r="CT955" s="259"/>
      <c r="CU955" s="259"/>
      <c r="CV955" s="259"/>
      <c r="CW955" s="259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  <c r="BC956" s="30"/>
      <c r="BD956" s="30"/>
      <c r="BE956" s="30"/>
      <c r="BF956" s="30"/>
      <c r="BG956" s="30"/>
      <c r="BH956" s="30"/>
      <c r="BI956" s="30"/>
      <c r="BJ956" s="30"/>
      <c r="BK956" s="30"/>
      <c r="BL956" s="30"/>
      <c r="BM956" s="30"/>
      <c r="BN956" s="30"/>
      <c r="BO956" s="259"/>
      <c r="BP956" s="259"/>
      <c r="BQ956" s="259"/>
      <c r="BR956" s="259"/>
      <c r="BS956" s="259"/>
      <c r="BT956" s="259"/>
      <c r="BU956" s="259"/>
      <c r="BV956" s="259"/>
      <c r="BW956" s="259"/>
      <c r="BX956" s="259"/>
      <c r="BY956" s="259"/>
      <c r="BZ956" s="260"/>
      <c r="CA956" s="259"/>
      <c r="CB956" s="259"/>
      <c r="CC956" s="259"/>
      <c r="CD956" s="259"/>
      <c r="CE956" s="259"/>
      <c r="CF956" s="259"/>
      <c r="CG956" s="259"/>
      <c r="CH956" s="259"/>
      <c r="CI956" s="259"/>
      <c r="CJ956" s="259"/>
      <c r="CK956" s="259"/>
      <c r="CL956" s="259"/>
      <c r="CM956" s="259"/>
      <c r="CN956" s="259"/>
      <c r="CO956" s="259"/>
      <c r="CP956" s="259"/>
      <c r="CQ956" s="259"/>
      <c r="CR956" s="259"/>
      <c r="CS956" s="259"/>
      <c r="CT956" s="259"/>
      <c r="CU956" s="259"/>
      <c r="CV956" s="259"/>
      <c r="CW956" s="259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  <c r="BB957" s="30"/>
      <c r="BC957" s="30"/>
      <c r="BD957" s="30"/>
      <c r="BE957" s="30"/>
      <c r="BF957" s="30"/>
      <c r="BG957" s="30"/>
      <c r="BH957" s="30"/>
      <c r="BI957" s="30"/>
      <c r="BJ957" s="30"/>
      <c r="BK957" s="30"/>
      <c r="BL957" s="30"/>
      <c r="BM957" s="30"/>
      <c r="BN957" s="30"/>
      <c r="BO957" s="259"/>
      <c r="BP957" s="259"/>
      <c r="BQ957" s="259"/>
      <c r="BR957" s="259"/>
      <c r="BS957" s="259"/>
      <c r="BT957" s="259"/>
      <c r="BU957" s="259"/>
      <c r="BV957" s="259"/>
      <c r="BW957" s="259"/>
      <c r="BX957" s="259"/>
      <c r="BY957" s="259"/>
      <c r="BZ957" s="260"/>
      <c r="CA957" s="259"/>
      <c r="CB957" s="259"/>
      <c r="CC957" s="259"/>
      <c r="CD957" s="259"/>
      <c r="CE957" s="259"/>
      <c r="CF957" s="259"/>
      <c r="CG957" s="259"/>
      <c r="CH957" s="259"/>
      <c r="CI957" s="259"/>
      <c r="CJ957" s="259"/>
      <c r="CK957" s="259"/>
      <c r="CL957" s="259"/>
      <c r="CM957" s="259"/>
      <c r="CN957" s="259"/>
      <c r="CO957" s="259"/>
      <c r="CP957" s="259"/>
      <c r="CQ957" s="259"/>
      <c r="CR957" s="259"/>
      <c r="CS957" s="259"/>
      <c r="CT957" s="259"/>
      <c r="CU957" s="259"/>
      <c r="CV957" s="259"/>
      <c r="CW957" s="259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  <c r="BD958" s="30"/>
      <c r="BE958" s="30"/>
      <c r="BF958" s="30"/>
      <c r="BG958" s="30"/>
      <c r="BH958" s="30"/>
      <c r="BI958" s="30"/>
      <c r="BJ958" s="30"/>
      <c r="BK958" s="30"/>
      <c r="BL958" s="30"/>
      <c r="BM958" s="30"/>
      <c r="BN958" s="30"/>
      <c r="BO958" s="259"/>
      <c r="BP958" s="259"/>
      <c r="BQ958" s="259"/>
      <c r="BR958" s="259"/>
      <c r="BS958" s="259"/>
      <c r="BT958" s="259"/>
      <c r="BU958" s="259"/>
      <c r="BV958" s="259"/>
      <c r="BW958" s="259"/>
      <c r="BX958" s="259"/>
      <c r="BY958" s="259"/>
      <c r="BZ958" s="260"/>
      <c r="CA958" s="259"/>
      <c r="CB958" s="259"/>
      <c r="CC958" s="259"/>
      <c r="CD958" s="259"/>
      <c r="CE958" s="259"/>
      <c r="CF958" s="259"/>
      <c r="CG958" s="259"/>
      <c r="CH958" s="259"/>
      <c r="CI958" s="259"/>
      <c r="CJ958" s="259"/>
      <c r="CK958" s="259"/>
      <c r="CL958" s="259"/>
      <c r="CM958" s="259"/>
      <c r="CN958" s="259"/>
      <c r="CO958" s="259"/>
      <c r="CP958" s="259"/>
      <c r="CQ958" s="259"/>
      <c r="CR958" s="259"/>
      <c r="CS958" s="259"/>
      <c r="CT958" s="259"/>
      <c r="CU958" s="259"/>
      <c r="CV958" s="259"/>
      <c r="CW958" s="25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8.63"/>
    <col customWidth="1" min="3" max="3" width="9.63"/>
    <col customWidth="1" min="4" max="4" width="11.5"/>
    <col customWidth="1" min="5" max="5" width="7.5"/>
    <col customWidth="1" min="6" max="6" width="9.0"/>
    <col customWidth="1" min="7" max="7" width="10.13"/>
  </cols>
  <sheetData>
    <row r="1">
      <c r="A1" s="292" t="s">
        <v>144</v>
      </c>
      <c r="B1" s="292" t="s">
        <v>2</v>
      </c>
      <c r="C1" s="292" t="s">
        <v>3</v>
      </c>
      <c r="D1" s="293" t="s">
        <v>4</v>
      </c>
      <c r="E1" s="294" t="s">
        <v>113</v>
      </c>
      <c r="F1" s="295" t="s">
        <v>103</v>
      </c>
      <c r="G1" s="296" t="s">
        <v>31</v>
      </c>
      <c r="H1" s="297" t="s">
        <v>115</v>
      </c>
      <c r="I1" s="296" t="s">
        <v>9</v>
      </c>
      <c r="J1" s="298" t="s">
        <v>97</v>
      </c>
      <c r="K1" s="299" t="s">
        <v>98</v>
      </c>
      <c r="L1" s="299" t="s">
        <v>12</v>
      </c>
      <c r="M1" s="300" t="s">
        <v>13</v>
      </c>
      <c r="N1" s="292" t="s">
        <v>14</v>
      </c>
      <c r="O1" s="301" t="s">
        <v>145</v>
      </c>
      <c r="P1" s="413" t="s">
        <v>146</v>
      </c>
      <c r="Q1" s="414"/>
      <c r="R1" s="415"/>
      <c r="S1" s="416"/>
      <c r="T1" s="417"/>
      <c r="U1" s="416"/>
      <c r="V1" s="416"/>
      <c r="W1" s="416"/>
      <c r="X1" s="416"/>
      <c r="Y1" s="416"/>
      <c r="Z1" s="417"/>
      <c r="AA1" s="416"/>
      <c r="AB1" s="416"/>
      <c r="AC1" s="418"/>
      <c r="AD1" s="416"/>
      <c r="AE1" s="416"/>
      <c r="AF1" s="416"/>
      <c r="AG1" s="416"/>
      <c r="AH1" s="419"/>
      <c r="AI1" s="419"/>
      <c r="AJ1" s="419"/>
      <c r="AK1" s="419"/>
      <c r="AL1" s="419"/>
      <c r="AM1" s="419"/>
      <c r="AN1" s="419"/>
      <c r="AO1" s="419"/>
      <c r="AP1" s="419"/>
      <c r="AQ1" s="419"/>
    </row>
    <row r="2">
      <c r="A2" s="420"/>
      <c r="B2" s="420"/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  <c r="O2" s="420"/>
      <c r="P2" s="413"/>
      <c r="Q2" s="414"/>
      <c r="R2" s="415"/>
      <c r="S2" s="416"/>
      <c r="T2" s="417"/>
      <c r="U2" s="416"/>
      <c r="V2" s="416"/>
      <c r="W2" s="416"/>
      <c r="X2" s="416"/>
      <c r="Y2" s="416"/>
      <c r="Z2" s="417"/>
      <c r="AA2" s="416"/>
      <c r="AB2" s="416"/>
      <c r="AC2" s="418"/>
      <c r="AD2" s="416"/>
      <c r="AE2" s="416"/>
      <c r="AF2" s="416"/>
      <c r="AG2" s="416"/>
      <c r="AH2" s="419"/>
      <c r="AI2" s="419"/>
      <c r="AJ2" s="419"/>
      <c r="AK2" s="419"/>
      <c r="AL2" s="419"/>
      <c r="AM2" s="419"/>
      <c r="AN2" s="419"/>
      <c r="AO2" s="419"/>
      <c r="AP2" s="419"/>
      <c r="AQ2" s="419"/>
    </row>
    <row r="3">
      <c r="A3" s="420"/>
      <c r="B3" s="420"/>
      <c r="C3" s="420"/>
      <c r="D3" s="420"/>
      <c r="E3" s="420"/>
      <c r="F3" s="420"/>
      <c r="G3" s="420"/>
      <c r="H3" s="420"/>
      <c r="I3" s="420"/>
      <c r="J3" s="420"/>
      <c r="K3" s="420"/>
      <c r="L3" s="420"/>
      <c r="M3" s="420"/>
      <c r="N3" s="420"/>
      <c r="O3" s="420"/>
      <c r="P3" s="413"/>
      <c r="Q3" s="414"/>
      <c r="R3" s="415"/>
      <c r="S3" s="416"/>
      <c r="T3" s="417"/>
      <c r="U3" s="416"/>
      <c r="V3" s="416"/>
      <c r="W3" s="416"/>
      <c r="X3" s="416"/>
      <c r="Y3" s="416"/>
      <c r="Z3" s="417"/>
      <c r="AA3" s="416"/>
      <c r="AB3" s="416"/>
      <c r="AC3" s="418"/>
      <c r="AD3" s="416"/>
      <c r="AE3" s="416"/>
      <c r="AF3" s="416"/>
      <c r="AG3" s="416"/>
      <c r="AH3" s="419"/>
      <c r="AI3" s="419"/>
      <c r="AJ3" s="419"/>
      <c r="AK3" s="419"/>
      <c r="AL3" s="419"/>
      <c r="AM3" s="419"/>
      <c r="AN3" s="419"/>
      <c r="AO3" s="419"/>
      <c r="AP3" s="419"/>
      <c r="AQ3" s="419"/>
    </row>
    <row r="4">
      <c r="A4" s="292" t="s">
        <v>147</v>
      </c>
      <c r="B4" s="292" t="s">
        <v>2</v>
      </c>
      <c r="C4" s="292" t="s">
        <v>3</v>
      </c>
      <c r="D4" s="293" t="s">
        <v>4</v>
      </c>
      <c r="E4" s="294" t="s">
        <v>113</v>
      </c>
      <c r="F4" s="295" t="s">
        <v>103</v>
      </c>
      <c r="G4" s="296" t="s">
        <v>31</v>
      </c>
      <c r="H4" s="297" t="s">
        <v>115</v>
      </c>
      <c r="I4" s="296" t="s">
        <v>9</v>
      </c>
      <c r="J4" s="298" t="s">
        <v>97</v>
      </c>
      <c r="K4" s="299" t="s">
        <v>98</v>
      </c>
      <c r="L4" s="299" t="s">
        <v>12</v>
      </c>
      <c r="M4" s="300" t="s">
        <v>13</v>
      </c>
      <c r="N4" s="292" t="s">
        <v>14</v>
      </c>
      <c r="O4" s="301" t="s">
        <v>145</v>
      </c>
      <c r="P4" s="413" t="s">
        <v>146</v>
      </c>
      <c r="Q4" s="414"/>
      <c r="R4" s="415"/>
      <c r="S4" s="416"/>
      <c r="T4" s="417"/>
      <c r="U4" s="416"/>
      <c r="V4" s="416"/>
      <c r="W4" s="416"/>
      <c r="X4" s="416"/>
      <c r="Y4" s="416"/>
      <c r="Z4" s="417"/>
      <c r="AA4" s="416"/>
      <c r="AB4" s="416"/>
      <c r="AC4" s="418"/>
      <c r="AD4" s="416"/>
      <c r="AE4" s="416"/>
      <c r="AF4" s="416"/>
      <c r="AG4" s="416"/>
      <c r="AH4" s="419"/>
      <c r="AI4" s="419"/>
      <c r="AJ4" s="419"/>
      <c r="AK4" s="419"/>
      <c r="AL4" s="419"/>
      <c r="AM4" s="419"/>
      <c r="AN4" s="419"/>
      <c r="AO4" s="419"/>
      <c r="AP4" s="419"/>
      <c r="AQ4" s="419"/>
    </row>
    <row r="5">
      <c r="A5" s="310" t="s">
        <v>148</v>
      </c>
      <c r="B5" s="304">
        <v>3379.0</v>
      </c>
      <c r="C5" s="304">
        <v>2630.0</v>
      </c>
      <c r="D5" s="304">
        <v>3000.0</v>
      </c>
      <c r="E5" s="304">
        <v>1000.0</v>
      </c>
      <c r="F5" s="304">
        <v>10150.0</v>
      </c>
      <c r="G5" s="27">
        <v>0.0</v>
      </c>
      <c r="H5" s="304">
        <v>1950.0</v>
      </c>
      <c r="I5" s="304">
        <v>13002.0</v>
      </c>
      <c r="J5" s="304">
        <v>480.0</v>
      </c>
      <c r="K5" s="304">
        <v>1439.0</v>
      </c>
      <c r="L5" s="304">
        <v>6903.97</v>
      </c>
      <c r="M5" s="304">
        <v>600.0</v>
      </c>
      <c r="N5" s="304">
        <v>25389.0</v>
      </c>
      <c r="O5" s="330">
        <v>70072.97</v>
      </c>
      <c r="P5" s="421">
        <v>100404.7</v>
      </c>
      <c r="Q5" s="422"/>
      <c r="R5" s="423"/>
      <c r="T5" s="424"/>
      <c r="U5" s="425"/>
      <c r="V5" s="424"/>
      <c r="W5" s="424"/>
      <c r="X5" s="424"/>
      <c r="Y5" s="424"/>
      <c r="Z5" s="425"/>
      <c r="AA5" s="424"/>
      <c r="AB5" s="424"/>
      <c r="AC5" s="424"/>
      <c r="AD5" s="426"/>
      <c r="AE5" s="424"/>
      <c r="AF5" s="424"/>
      <c r="AG5" s="424"/>
      <c r="AH5" s="427"/>
      <c r="AI5" s="428"/>
      <c r="AJ5" s="428"/>
      <c r="AK5" s="428"/>
      <c r="AL5" s="428"/>
      <c r="AM5" s="428"/>
      <c r="AN5" s="428"/>
      <c r="AO5" s="428"/>
      <c r="AP5" s="428"/>
      <c r="AQ5" s="428"/>
    </row>
    <row r="6" hidden="1">
      <c r="A6" s="429">
        <v>2.0</v>
      </c>
      <c r="B6" s="419"/>
      <c r="C6" s="430"/>
      <c r="D6" s="430"/>
      <c r="E6" s="430"/>
      <c r="F6" s="430"/>
      <c r="G6" s="430"/>
      <c r="H6" s="430"/>
      <c r="I6" s="430"/>
      <c r="J6" s="430"/>
      <c r="K6" s="431"/>
      <c r="L6" s="430"/>
      <c r="M6" s="430"/>
      <c r="N6" s="430"/>
      <c r="O6" s="430"/>
      <c r="Q6" s="430"/>
      <c r="R6" s="419"/>
      <c r="T6" s="424"/>
      <c r="U6" s="424"/>
      <c r="V6" s="424"/>
      <c r="W6" s="424"/>
      <c r="X6" s="424"/>
      <c r="Y6" s="424"/>
      <c r="Z6" s="424"/>
      <c r="AA6" s="424"/>
      <c r="AB6" s="424"/>
      <c r="AC6" s="424"/>
      <c r="AD6" s="432"/>
      <c r="AE6" s="424"/>
      <c r="AF6" s="424"/>
      <c r="AG6" s="424"/>
      <c r="AH6" s="424"/>
      <c r="AI6" s="419"/>
      <c r="AJ6" s="419"/>
      <c r="AK6" s="419"/>
      <c r="AL6" s="419"/>
      <c r="AM6" s="419"/>
      <c r="AN6" s="419"/>
      <c r="AO6" s="419"/>
      <c r="AP6" s="419"/>
      <c r="AQ6" s="419"/>
    </row>
    <row r="7" hidden="1">
      <c r="A7" s="429">
        <v>3.0</v>
      </c>
      <c r="R7" s="419"/>
      <c r="S7" s="419"/>
      <c r="T7" s="419"/>
      <c r="U7" s="419"/>
      <c r="V7" s="419"/>
      <c r="W7" s="419"/>
      <c r="X7" s="419"/>
      <c r="Y7" s="419"/>
      <c r="Z7" s="419"/>
      <c r="AA7" s="419"/>
      <c r="AB7" s="419"/>
      <c r="AC7" s="433"/>
      <c r="AD7" s="419"/>
      <c r="AE7" s="419"/>
      <c r="AF7" s="419"/>
      <c r="AG7" s="419"/>
      <c r="AH7" s="419"/>
      <c r="AI7" s="419"/>
      <c r="AJ7" s="419"/>
      <c r="AK7" s="419"/>
      <c r="AL7" s="419"/>
      <c r="AM7" s="419"/>
      <c r="AN7" s="419"/>
      <c r="AO7" s="419"/>
      <c r="AP7" s="419"/>
      <c r="AQ7" s="419"/>
    </row>
    <row r="8">
      <c r="A8" s="310" t="s">
        <v>149</v>
      </c>
      <c r="B8" s="27">
        <v>7980.0</v>
      </c>
      <c r="C8" s="27">
        <v>2099.0</v>
      </c>
      <c r="D8" s="27">
        <v>3102.75</v>
      </c>
      <c r="E8" s="27">
        <v>950.0</v>
      </c>
      <c r="F8" s="27">
        <v>2450.0</v>
      </c>
      <c r="G8" s="21">
        <v>0.0</v>
      </c>
      <c r="H8" s="27">
        <v>890.0</v>
      </c>
      <c r="I8" s="27">
        <v>12333.0</v>
      </c>
      <c r="J8" s="27">
        <v>2888.0</v>
      </c>
      <c r="K8" s="27">
        <v>1440.0</v>
      </c>
      <c r="L8" s="27">
        <v>4705.110000000001</v>
      </c>
      <c r="M8" s="27">
        <v>2390.77</v>
      </c>
      <c r="N8" s="27">
        <v>15914.0</v>
      </c>
      <c r="O8" s="30">
        <v>60622.63</v>
      </c>
      <c r="P8" s="421">
        <v>102264.29000000001</v>
      </c>
      <c r="Q8" s="434"/>
      <c r="R8" s="435"/>
      <c r="S8" s="435"/>
      <c r="T8" s="435"/>
      <c r="U8" s="436"/>
      <c r="V8" s="435"/>
      <c r="W8" s="435"/>
      <c r="X8" s="435"/>
      <c r="Y8" s="435"/>
      <c r="Z8" s="436"/>
      <c r="AA8" s="435"/>
      <c r="AB8" s="435"/>
      <c r="AC8" s="435"/>
      <c r="AD8" s="436"/>
      <c r="AE8" s="435"/>
      <c r="AF8" s="435"/>
      <c r="AG8" s="435"/>
      <c r="AH8" s="437"/>
      <c r="AI8" s="435"/>
      <c r="AJ8" s="435"/>
      <c r="AK8" s="435"/>
      <c r="AL8" s="435"/>
      <c r="AM8" s="435"/>
      <c r="AN8" s="435"/>
      <c r="AO8" s="435"/>
      <c r="AP8" s="435"/>
      <c r="AQ8" s="435"/>
    </row>
    <row r="9" hidden="1">
      <c r="A9" s="429">
        <v>5.0</v>
      </c>
      <c r="R9" s="419"/>
      <c r="S9" s="419"/>
      <c r="T9" s="419"/>
      <c r="U9" s="419"/>
      <c r="V9" s="419"/>
      <c r="W9" s="419"/>
      <c r="X9" s="419"/>
      <c r="Y9" s="419"/>
      <c r="Z9" s="419"/>
      <c r="AA9" s="419"/>
      <c r="AB9" s="419"/>
      <c r="AC9" s="433"/>
      <c r="AD9" s="419"/>
      <c r="AE9" s="419"/>
      <c r="AF9" s="419"/>
      <c r="AG9" s="419"/>
      <c r="AH9" s="419">
        <v>54799.999999999985</v>
      </c>
      <c r="AI9" s="419"/>
      <c r="AJ9" s="419"/>
      <c r="AK9" s="419"/>
      <c r="AL9" s="419"/>
      <c r="AM9" s="419"/>
      <c r="AN9" s="419"/>
      <c r="AO9" s="419"/>
      <c r="AP9" s="419"/>
      <c r="AQ9" s="419"/>
    </row>
    <row r="10" hidden="1">
      <c r="A10" s="429">
        <v>6.0</v>
      </c>
      <c r="R10" s="419"/>
      <c r="S10" s="419"/>
      <c r="T10" s="419"/>
      <c r="U10" s="419"/>
      <c r="V10" s="419"/>
      <c r="W10" s="419"/>
      <c r="X10" s="419"/>
      <c r="Y10" s="419"/>
      <c r="Z10" s="419"/>
      <c r="AA10" s="419"/>
      <c r="AB10" s="419"/>
      <c r="AC10" s="433"/>
      <c r="AD10" s="419"/>
      <c r="AE10" s="419"/>
      <c r="AF10" s="419"/>
      <c r="AG10" s="419"/>
      <c r="AH10" s="419"/>
      <c r="AI10" s="419"/>
      <c r="AJ10" s="419"/>
      <c r="AK10" s="419"/>
      <c r="AL10" s="419"/>
      <c r="AM10" s="419"/>
      <c r="AN10" s="419"/>
      <c r="AO10" s="419"/>
      <c r="AP10" s="419"/>
      <c r="AQ10" s="419"/>
    </row>
    <row r="11">
      <c r="A11" s="310" t="s">
        <v>150</v>
      </c>
      <c r="B11" s="21">
        <v>62142.0</v>
      </c>
      <c r="C11" s="21">
        <v>1949.08</v>
      </c>
      <c r="D11" s="21">
        <v>3508.0</v>
      </c>
      <c r="E11" s="21">
        <v>972.5</v>
      </c>
      <c r="F11" s="21">
        <v>4576.0</v>
      </c>
      <c r="G11" s="21">
        <v>0.0</v>
      </c>
      <c r="H11" s="21">
        <v>750.0</v>
      </c>
      <c r="I11" s="21">
        <v>20724.0</v>
      </c>
      <c r="J11" s="21">
        <v>1793.0</v>
      </c>
      <c r="K11" s="21">
        <v>1242.0</v>
      </c>
      <c r="L11" s="21">
        <v>5117.0</v>
      </c>
      <c r="M11" s="21">
        <v>6110.332</v>
      </c>
      <c r="N11" s="21">
        <v>15840.0</v>
      </c>
      <c r="O11" s="368">
        <v>125853.912</v>
      </c>
      <c r="P11" s="421">
        <v>143048.72</v>
      </c>
      <c r="Q11" s="434"/>
      <c r="R11" s="435"/>
      <c r="T11" s="438"/>
      <c r="U11" s="438"/>
      <c r="V11" s="439"/>
      <c r="W11" s="439"/>
      <c r="X11" s="439"/>
      <c r="Y11" s="439"/>
      <c r="Z11" s="438"/>
      <c r="AA11" s="439"/>
      <c r="AB11" s="439"/>
      <c r="AC11" s="439"/>
      <c r="AD11" s="438"/>
      <c r="AE11" s="439"/>
      <c r="AF11" s="439"/>
      <c r="AG11" s="439"/>
      <c r="AH11" s="440"/>
      <c r="AI11" s="435"/>
      <c r="AJ11" s="435"/>
      <c r="AK11" s="435"/>
      <c r="AL11" s="435"/>
      <c r="AM11" s="435"/>
      <c r="AN11" s="435"/>
      <c r="AO11" s="435"/>
      <c r="AP11" s="435"/>
      <c r="AQ11" s="435"/>
    </row>
    <row r="12" hidden="1">
      <c r="A12" s="429">
        <v>8.0</v>
      </c>
      <c r="R12" s="419"/>
      <c r="S12" s="424"/>
      <c r="T12" s="424"/>
      <c r="U12" s="424"/>
      <c r="V12" s="424"/>
      <c r="W12" s="424"/>
      <c r="X12" s="424"/>
      <c r="Y12" s="424"/>
      <c r="Z12" s="424"/>
      <c r="AA12" s="424"/>
      <c r="AB12" s="424"/>
      <c r="AC12" s="432"/>
      <c r="AD12" s="424"/>
      <c r="AE12" s="424"/>
      <c r="AF12" s="424"/>
      <c r="AG12" s="75"/>
      <c r="AH12" s="424">
        <v>84700.0</v>
      </c>
      <c r="AI12" s="419"/>
      <c r="AJ12" s="419"/>
      <c r="AK12" s="419"/>
      <c r="AL12" s="419"/>
      <c r="AM12" s="419"/>
      <c r="AN12" s="419"/>
      <c r="AO12" s="419"/>
      <c r="AP12" s="419"/>
      <c r="AQ12" s="419"/>
    </row>
    <row r="13" hidden="1">
      <c r="A13" s="429">
        <v>9.0</v>
      </c>
      <c r="R13" s="419"/>
      <c r="S13" s="419"/>
      <c r="T13" s="419"/>
      <c r="U13" s="419"/>
      <c r="V13" s="419"/>
      <c r="W13" s="419"/>
      <c r="X13" s="419"/>
      <c r="Y13" s="419"/>
      <c r="Z13" s="419"/>
      <c r="AA13" s="419"/>
      <c r="AB13" s="419"/>
      <c r="AC13" s="433"/>
      <c r="AD13" s="419"/>
      <c r="AE13" s="419"/>
      <c r="AF13" s="419"/>
      <c r="AG13" s="419"/>
      <c r="AH13" s="419"/>
      <c r="AI13" s="419"/>
      <c r="AJ13" s="419"/>
      <c r="AK13" s="419"/>
      <c r="AL13" s="419"/>
      <c r="AM13" s="419"/>
      <c r="AN13" s="419"/>
      <c r="AO13" s="419"/>
      <c r="AP13" s="419"/>
      <c r="AQ13" s="419"/>
    </row>
    <row r="14">
      <c r="A14" s="310" t="s">
        <v>151</v>
      </c>
      <c r="B14" s="27">
        <v>1700.0</v>
      </c>
      <c r="C14" s="27">
        <v>2477.0</v>
      </c>
      <c r="D14" s="27">
        <v>4270.0</v>
      </c>
      <c r="E14" s="27">
        <v>981.0</v>
      </c>
      <c r="F14" s="27">
        <v>2210.0</v>
      </c>
      <c r="G14" s="27">
        <v>0.0</v>
      </c>
      <c r="H14" s="27">
        <v>8385.0</v>
      </c>
      <c r="I14" s="27">
        <v>18551.0</v>
      </c>
      <c r="J14" s="27">
        <v>3567.0</v>
      </c>
      <c r="K14" s="27">
        <v>250.0</v>
      </c>
      <c r="L14" s="27">
        <v>4790.6</v>
      </c>
      <c r="M14" s="27">
        <v>4962.030000000001</v>
      </c>
      <c r="N14" s="27">
        <v>14396.0</v>
      </c>
      <c r="O14" s="30">
        <v>66539.63</v>
      </c>
      <c r="P14" s="421">
        <v>106832.45999999999</v>
      </c>
      <c r="Q14" s="434"/>
      <c r="R14" s="435"/>
      <c r="S14" s="435"/>
      <c r="T14" s="438"/>
      <c r="U14" s="438"/>
      <c r="V14" s="439"/>
      <c r="W14" s="439"/>
      <c r="X14" s="439"/>
      <c r="Y14" s="439"/>
      <c r="Z14" s="438"/>
      <c r="AA14" s="439"/>
      <c r="AB14" s="439"/>
      <c r="AC14" s="439"/>
      <c r="AD14" s="438"/>
      <c r="AE14" s="439"/>
      <c r="AF14" s="439"/>
      <c r="AG14" s="439"/>
      <c r="AH14" s="440"/>
      <c r="AI14" s="435"/>
      <c r="AJ14" s="435"/>
      <c r="AK14" s="435"/>
      <c r="AL14" s="435"/>
      <c r="AM14" s="435"/>
      <c r="AN14" s="435"/>
      <c r="AO14" s="435"/>
      <c r="AP14" s="435"/>
      <c r="AQ14" s="435"/>
    </row>
    <row r="15" hidden="1">
      <c r="A15" s="429">
        <v>11.0</v>
      </c>
      <c r="R15" s="419"/>
      <c r="S15" s="419"/>
      <c r="T15" s="419"/>
      <c r="U15" s="419"/>
      <c r="V15" s="419"/>
      <c r="W15" s="419"/>
      <c r="X15" s="419"/>
      <c r="Y15" s="419"/>
      <c r="Z15" s="419"/>
      <c r="AA15" s="419"/>
      <c r="AB15" s="419"/>
      <c r="AC15" s="433"/>
      <c r="AD15" s="419"/>
      <c r="AE15" s="419"/>
      <c r="AF15" s="419"/>
      <c r="AG15" s="419"/>
      <c r="AH15" s="419"/>
      <c r="AI15" s="419"/>
      <c r="AJ15" s="419"/>
      <c r="AK15" s="419"/>
      <c r="AL15" s="419"/>
      <c r="AM15" s="419"/>
      <c r="AN15" s="419"/>
      <c r="AO15" s="419"/>
      <c r="AP15" s="419"/>
      <c r="AQ15" s="419"/>
    </row>
    <row r="16" hidden="1">
      <c r="A16" s="429">
        <v>12.0</v>
      </c>
      <c r="R16" s="419"/>
      <c r="S16" s="419"/>
      <c r="T16" s="419"/>
      <c r="U16" s="419"/>
      <c r="V16" s="419"/>
      <c r="W16" s="419"/>
      <c r="X16" s="419"/>
      <c r="Y16" s="419"/>
      <c r="Z16" s="419"/>
      <c r="AA16" s="419"/>
      <c r="AB16" s="419"/>
      <c r="AC16" s="433"/>
      <c r="AD16" s="419"/>
      <c r="AE16" s="419"/>
      <c r="AF16" s="419"/>
      <c r="AG16" s="419"/>
      <c r="AH16" s="419"/>
      <c r="AI16" s="419"/>
      <c r="AJ16" s="419"/>
      <c r="AK16" s="419"/>
      <c r="AL16" s="419"/>
      <c r="AM16" s="419"/>
      <c r="AN16" s="419"/>
      <c r="AO16" s="419"/>
      <c r="AP16" s="419"/>
      <c r="AQ16" s="419"/>
    </row>
    <row r="17">
      <c r="A17" s="310" t="s">
        <v>152</v>
      </c>
      <c r="B17" s="21">
        <v>950.0</v>
      </c>
      <c r="C17" s="21">
        <v>2336.5</v>
      </c>
      <c r="D17" s="21">
        <v>4369.0</v>
      </c>
      <c r="E17" s="21">
        <v>960.0</v>
      </c>
      <c r="F17" s="21">
        <v>11030.0</v>
      </c>
      <c r="G17" s="21">
        <v>0.0</v>
      </c>
      <c r="H17" s="21">
        <v>4646.0</v>
      </c>
      <c r="I17" s="21">
        <v>16707.0</v>
      </c>
      <c r="J17" s="21">
        <v>625.0</v>
      </c>
      <c r="K17" s="21">
        <v>0.0</v>
      </c>
      <c r="L17" s="21">
        <v>7324.0</v>
      </c>
      <c r="M17" s="21">
        <v>5404.0</v>
      </c>
      <c r="N17" s="21">
        <v>7792.0</v>
      </c>
      <c r="O17" s="368">
        <v>62143.5</v>
      </c>
      <c r="P17" s="421">
        <v>135240.68</v>
      </c>
      <c r="Q17" s="434"/>
      <c r="R17" s="435"/>
      <c r="S17" s="435"/>
      <c r="T17" s="441"/>
      <c r="U17" s="441"/>
      <c r="V17" s="442"/>
      <c r="W17" s="442"/>
      <c r="X17" s="442"/>
      <c r="Y17" s="442"/>
      <c r="Z17" s="441"/>
      <c r="AA17" s="442"/>
      <c r="AB17" s="442"/>
      <c r="AC17" s="442"/>
      <c r="AD17" s="441"/>
      <c r="AE17" s="442"/>
      <c r="AF17" s="442"/>
      <c r="AG17" s="442"/>
      <c r="AH17" s="443"/>
      <c r="AI17" s="442"/>
      <c r="AJ17" s="442"/>
      <c r="AK17" s="442"/>
      <c r="AL17" s="442"/>
      <c r="AM17" s="442"/>
      <c r="AN17" s="442"/>
      <c r="AO17" s="442"/>
      <c r="AP17" s="442"/>
      <c r="AQ17" s="442"/>
    </row>
    <row r="18" hidden="1">
      <c r="A18" s="429">
        <v>14.0</v>
      </c>
      <c r="B18" s="360"/>
      <c r="C18" s="360"/>
      <c r="D18" s="360"/>
      <c r="E18" s="360"/>
      <c r="F18" s="360"/>
      <c r="G18" s="360"/>
      <c r="H18" s="360"/>
      <c r="I18" s="360"/>
      <c r="J18" s="360"/>
      <c r="K18" s="360"/>
      <c r="L18" s="360"/>
      <c r="M18" s="360"/>
      <c r="N18" s="360"/>
      <c r="R18" s="419"/>
      <c r="S18" s="419"/>
      <c r="T18" s="444"/>
      <c r="U18" s="444"/>
      <c r="V18" s="444"/>
      <c r="W18" s="444"/>
      <c r="X18" s="444"/>
      <c r="Y18" s="444"/>
      <c r="Z18" s="444"/>
      <c r="AA18" s="444"/>
      <c r="AB18" s="444"/>
      <c r="AC18" s="445"/>
      <c r="AD18" s="444"/>
      <c r="AE18" s="444"/>
      <c r="AF18" s="444"/>
      <c r="AG18" s="444"/>
      <c r="AH18" s="444">
        <v>78000.0</v>
      </c>
      <c r="AI18" s="444"/>
      <c r="AJ18" s="444"/>
      <c r="AK18" s="444"/>
      <c r="AL18" s="444"/>
      <c r="AM18" s="444"/>
      <c r="AN18" s="444"/>
      <c r="AO18" s="444"/>
      <c r="AP18" s="444"/>
      <c r="AQ18" s="444"/>
    </row>
    <row r="19">
      <c r="A19" s="310" t="s">
        <v>153</v>
      </c>
      <c r="B19" s="27">
        <v>12038.0</v>
      </c>
      <c r="C19" s="27">
        <v>2200.0</v>
      </c>
      <c r="D19" s="27">
        <v>4850.0</v>
      </c>
      <c r="E19" s="27">
        <v>1000.0</v>
      </c>
      <c r="F19" s="27">
        <v>3897.0</v>
      </c>
      <c r="G19" s="27">
        <v>0.0</v>
      </c>
      <c r="H19" s="27">
        <v>8975.0</v>
      </c>
      <c r="I19" s="27">
        <v>15186.0</v>
      </c>
      <c r="J19" s="27">
        <v>11354.0</v>
      </c>
      <c r="K19" s="27">
        <v>1560.0</v>
      </c>
      <c r="L19" s="27">
        <v>7193.0</v>
      </c>
      <c r="M19" s="27">
        <v>6448.0</v>
      </c>
      <c r="N19" s="27">
        <v>13630.0</v>
      </c>
      <c r="O19" s="30">
        <v>88331.0</v>
      </c>
      <c r="P19" s="421">
        <v>128694.67000000001</v>
      </c>
      <c r="Q19" s="434"/>
      <c r="R19" s="435"/>
      <c r="S19" s="435"/>
      <c r="T19" s="441"/>
      <c r="U19" s="441"/>
      <c r="V19" s="441"/>
      <c r="W19" s="442"/>
      <c r="X19" s="442"/>
      <c r="Y19" s="442"/>
      <c r="Z19" s="441"/>
      <c r="AA19" s="441"/>
      <c r="AB19" s="441"/>
      <c r="AC19" s="441"/>
      <c r="AD19" s="441"/>
      <c r="AE19" s="441"/>
      <c r="AF19" s="441"/>
      <c r="AG19" s="441"/>
      <c r="AH19" s="446"/>
      <c r="AI19" s="442"/>
      <c r="AJ19" s="442"/>
      <c r="AK19" s="442"/>
      <c r="AL19" s="442"/>
      <c r="AM19" s="442"/>
      <c r="AN19" s="442"/>
      <c r="AO19" s="442"/>
      <c r="AP19" s="442"/>
      <c r="AQ19" s="442"/>
    </row>
    <row r="20" hidden="1">
      <c r="A20" s="429">
        <v>16.0</v>
      </c>
      <c r="R20" s="419"/>
      <c r="S20" s="419"/>
      <c r="T20" s="444"/>
      <c r="U20" s="444"/>
      <c r="V20" s="444"/>
      <c r="W20" s="444"/>
      <c r="X20" s="444"/>
      <c r="Y20" s="444"/>
      <c r="Z20" s="444"/>
      <c r="AA20" s="444"/>
      <c r="AB20" s="444"/>
      <c r="AC20" s="445"/>
      <c r="AD20" s="444"/>
      <c r="AE20" s="444"/>
      <c r="AF20" s="444"/>
      <c r="AG20" s="444"/>
      <c r="AH20" s="447">
        <v>74600.0</v>
      </c>
      <c r="AI20" s="444"/>
      <c r="AJ20" s="444"/>
      <c r="AK20" s="444"/>
      <c r="AL20" s="444"/>
      <c r="AM20" s="444"/>
      <c r="AN20" s="444"/>
      <c r="AO20" s="444"/>
      <c r="AP20" s="444"/>
      <c r="AQ20" s="444"/>
    </row>
    <row r="21">
      <c r="A21" s="310" t="s">
        <v>154</v>
      </c>
      <c r="B21" s="21">
        <v>34306.0</v>
      </c>
      <c r="C21" s="21">
        <v>2398.0</v>
      </c>
      <c r="D21" s="21">
        <v>3468.0</v>
      </c>
      <c r="E21" s="21">
        <v>1000.0</v>
      </c>
      <c r="F21" s="21">
        <v>140.0</v>
      </c>
      <c r="G21" s="21">
        <v>8580.2</v>
      </c>
      <c r="H21" s="21">
        <v>8450.0</v>
      </c>
      <c r="I21" s="21">
        <v>21173.0</v>
      </c>
      <c r="J21" s="21">
        <v>2327.0</v>
      </c>
      <c r="K21" s="21">
        <v>1450.0</v>
      </c>
      <c r="L21" s="21">
        <v>4912.719999999999</v>
      </c>
      <c r="M21" s="21">
        <v>5768.21</v>
      </c>
      <c r="N21" s="21">
        <v>5108.0</v>
      </c>
      <c r="O21" s="368">
        <v>99081.13</v>
      </c>
      <c r="P21" s="421">
        <v>107122.06</v>
      </c>
      <c r="Q21" s="434"/>
      <c r="R21" s="435"/>
      <c r="S21" s="435"/>
      <c r="T21" s="441"/>
      <c r="U21" s="441"/>
      <c r="V21" s="442"/>
      <c r="W21" s="442"/>
      <c r="X21" s="442"/>
      <c r="Y21" s="442"/>
      <c r="Z21" s="441"/>
      <c r="AA21" s="442"/>
      <c r="AB21" s="442"/>
      <c r="AC21" s="442"/>
      <c r="AD21" s="441"/>
      <c r="AE21" s="442"/>
      <c r="AF21" s="442"/>
      <c r="AG21" s="441"/>
      <c r="AH21" s="443"/>
      <c r="AI21" s="444"/>
      <c r="AJ21" s="444"/>
      <c r="AK21" s="444"/>
      <c r="AL21" s="444"/>
      <c r="AM21" s="444"/>
      <c r="AN21" s="444"/>
      <c r="AO21" s="444"/>
      <c r="AP21" s="444"/>
      <c r="AQ21" s="444"/>
    </row>
    <row r="22" hidden="1">
      <c r="A22" s="429">
        <v>18.0</v>
      </c>
      <c r="B22" s="360"/>
      <c r="C22" s="360"/>
      <c r="D22" s="360"/>
      <c r="E22" s="360"/>
      <c r="F22" s="360"/>
      <c r="G22" s="360"/>
      <c r="H22" s="360"/>
      <c r="I22" s="360"/>
      <c r="J22" s="360"/>
      <c r="K22" s="360"/>
      <c r="L22" s="360"/>
      <c r="M22" s="360"/>
      <c r="N22" s="360"/>
      <c r="R22" s="419"/>
      <c r="S22" s="419"/>
      <c r="T22" s="419"/>
      <c r="U22" s="419"/>
      <c r="V22" s="419"/>
      <c r="W22" s="419"/>
      <c r="X22" s="419"/>
      <c r="Y22" s="419"/>
      <c r="Z22" s="419"/>
      <c r="AA22" s="419"/>
      <c r="AB22" s="419"/>
      <c r="AC22" s="433"/>
      <c r="AD22" s="419"/>
      <c r="AE22" s="419"/>
      <c r="AF22" s="419"/>
      <c r="AG22" s="419"/>
      <c r="AH22" s="360">
        <f>SUM(AH21)</f>
        <v>0</v>
      </c>
      <c r="AI22" s="419"/>
      <c r="AJ22" s="419"/>
      <c r="AK22" s="419"/>
      <c r="AL22" s="419"/>
      <c r="AM22" s="419"/>
      <c r="AN22" s="419"/>
      <c r="AO22" s="419"/>
      <c r="AP22" s="419"/>
      <c r="AQ22" s="419"/>
    </row>
    <row r="23" hidden="1">
      <c r="A23" s="429">
        <v>19.0</v>
      </c>
      <c r="R23" s="419"/>
      <c r="S23" s="419"/>
      <c r="T23" s="419"/>
      <c r="U23" s="419"/>
      <c r="V23" s="419"/>
      <c r="W23" s="419"/>
      <c r="X23" s="419"/>
      <c r="Y23" s="419"/>
      <c r="Z23" s="419"/>
      <c r="AA23" s="419"/>
      <c r="AB23" s="419"/>
      <c r="AC23" s="433"/>
      <c r="AD23" s="419"/>
      <c r="AE23" s="419"/>
      <c r="AF23" s="419"/>
      <c r="AG23" s="419"/>
      <c r="AH23" s="419"/>
      <c r="AI23" s="419"/>
      <c r="AJ23" s="419"/>
      <c r="AK23" s="419"/>
      <c r="AL23" s="419"/>
      <c r="AM23" s="419"/>
      <c r="AN23" s="419"/>
      <c r="AO23" s="419"/>
      <c r="AP23" s="419"/>
      <c r="AQ23" s="419"/>
    </row>
    <row r="24">
      <c r="A24" s="310" t="s">
        <v>155</v>
      </c>
      <c r="B24" s="27">
        <v>50512.87</v>
      </c>
      <c r="C24" s="27">
        <v>0.0</v>
      </c>
      <c r="D24" s="27">
        <v>4552.0</v>
      </c>
      <c r="E24" s="27">
        <v>0.0</v>
      </c>
      <c r="F24" s="27">
        <v>1249.0</v>
      </c>
      <c r="G24" s="27">
        <v>8580.2</v>
      </c>
      <c r="H24" s="27">
        <v>5943.0</v>
      </c>
      <c r="I24" s="27">
        <v>22583.0</v>
      </c>
      <c r="J24" s="27">
        <v>3739.0</v>
      </c>
      <c r="K24" s="27">
        <v>529.0</v>
      </c>
      <c r="L24" s="27">
        <v>8517.2</v>
      </c>
      <c r="M24" s="27">
        <v>6048.27</v>
      </c>
      <c r="N24" s="27">
        <v>11930.0</v>
      </c>
      <c r="O24" s="30">
        <v>124183.54000000001</v>
      </c>
      <c r="P24" s="421">
        <v>138203.61</v>
      </c>
      <c r="Q24" s="434"/>
      <c r="R24" s="435"/>
      <c r="T24" s="423"/>
      <c r="U24" s="423"/>
      <c r="V24" s="423"/>
      <c r="W24" s="423"/>
      <c r="X24" s="423"/>
      <c r="Y24" s="423"/>
      <c r="Z24" s="423"/>
      <c r="AA24" s="423"/>
      <c r="AB24" s="423"/>
      <c r="AC24" s="423"/>
      <c r="AD24" s="448"/>
      <c r="AE24" s="423"/>
      <c r="AF24" s="423"/>
      <c r="AG24" s="423"/>
      <c r="AH24" s="419"/>
      <c r="AI24" s="419"/>
      <c r="AJ24" s="419"/>
      <c r="AK24" s="419"/>
      <c r="AL24" s="419"/>
      <c r="AM24" s="419"/>
      <c r="AN24" s="419"/>
      <c r="AO24" s="419"/>
      <c r="AP24" s="419"/>
      <c r="AQ24" s="419"/>
    </row>
    <row r="25" hidden="1">
      <c r="A25" s="429">
        <v>21.0</v>
      </c>
      <c r="R25" s="419"/>
      <c r="T25" s="419"/>
      <c r="U25" s="419"/>
      <c r="V25" s="419"/>
      <c r="W25" s="419"/>
      <c r="X25" s="419"/>
      <c r="Y25" s="419"/>
      <c r="Z25" s="419"/>
      <c r="AA25" s="419"/>
      <c r="AB25" s="419"/>
      <c r="AC25" s="419"/>
      <c r="AD25" s="433"/>
      <c r="AE25" s="419"/>
      <c r="AF25" s="419"/>
      <c r="AG25" s="419"/>
      <c r="AH25" s="419">
        <v>62999.99999999999</v>
      </c>
      <c r="AI25" s="419"/>
      <c r="AJ25" s="419"/>
      <c r="AK25" s="419"/>
      <c r="AL25" s="419"/>
      <c r="AM25" s="419"/>
      <c r="AN25" s="419"/>
      <c r="AO25" s="419"/>
      <c r="AP25" s="419"/>
      <c r="AQ25" s="419"/>
    </row>
    <row r="26" hidden="1">
      <c r="A26" s="429">
        <v>22.0</v>
      </c>
      <c r="R26" s="419"/>
      <c r="S26" s="419"/>
      <c r="T26" s="419"/>
      <c r="U26" s="419"/>
      <c r="V26" s="419"/>
      <c r="W26" s="419"/>
      <c r="X26" s="419"/>
      <c r="Y26" s="419"/>
      <c r="Z26" s="419"/>
      <c r="AA26" s="419"/>
      <c r="AB26" s="419"/>
      <c r="AC26" s="433"/>
      <c r="AD26" s="419"/>
      <c r="AE26" s="419"/>
      <c r="AF26" s="419"/>
      <c r="AG26" s="419"/>
      <c r="AH26" s="419"/>
      <c r="AI26" s="419"/>
      <c r="AJ26" s="419"/>
      <c r="AK26" s="419"/>
      <c r="AL26" s="419"/>
      <c r="AM26" s="419"/>
      <c r="AN26" s="419"/>
      <c r="AO26" s="419"/>
      <c r="AP26" s="419"/>
      <c r="AQ26" s="419"/>
    </row>
    <row r="27">
      <c r="A27" s="310" t="s">
        <v>156</v>
      </c>
      <c r="B27" s="27">
        <v>29950.0</v>
      </c>
      <c r="C27" s="27">
        <v>2299.0</v>
      </c>
      <c r="D27" s="27">
        <v>4505.0</v>
      </c>
      <c r="E27" s="27">
        <v>980.0</v>
      </c>
      <c r="F27" s="27">
        <v>0.0</v>
      </c>
      <c r="G27" s="27">
        <v>8580.0</v>
      </c>
      <c r="H27" s="27">
        <v>2278.0</v>
      </c>
      <c r="I27" s="27">
        <v>19380.0</v>
      </c>
      <c r="J27" s="27">
        <v>1463.0</v>
      </c>
      <c r="K27" s="27">
        <v>10000.0</v>
      </c>
      <c r="L27" s="27">
        <v>5494.0</v>
      </c>
      <c r="M27" s="27">
        <v>5354.0</v>
      </c>
      <c r="N27" s="27">
        <v>4254.0</v>
      </c>
      <c r="O27" s="27">
        <v>94537.0</v>
      </c>
      <c r="P27" s="421">
        <v>113870.38</v>
      </c>
      <c r="Q27" s="434"/>
      <c r="R27" s="435"/>
      <c r="S27" s="435"/>
      <c r="T27" s="441"/>
      <c r="U27" s="441"/>
      <c r="V27" s="442"/>
      <c r="W27" s="442"/>
      <c r="X27" s="442"/>
      <c r="Y27" s="442"/>
      <c r="Z27" s="441"/>
      <c r="AA27" s="442"/>
      <c r="AB27" s="442"/>
      <c r="AC27" s="442"/>
      <c r="AD27" s="441"/>
      <c r="AE27" s="442"/>
      <c r="AF27" s="442"/>
      <c r="AG27" s="441"/>
      <c r="AH27" s="419"/>
      <c r="AI27" s="419"/>
      <c r="AJ27" s="419"/>
      <c r="AK27" s="419"/>
      <c r="AL27" s="419"/>
      <c r="AM27" s="419"/>
      <c r="AN27" s="419"/>
      <c r="AO27" s="419"/>
      <c r="AP27" s="419"/>
      <c r="AQ27" s="419"/>
    </row>
    <row r="28">
      <c r="A28" s="310" t="s">
        <v>157</v>
      </c>
      <c r="B28" s="27">
        <v>6740.0</v>
      </c>
      <c r="C28" s="27">
        <v>2099.0</v>
      </c>
      <c r="D28" s="27">
        <v>5364.0</v>
      </c>
      <c r="E28" s="27">
        <v>700.0</v>
      </c>
      <c r="F28" s="27">
        <v>3400.0</v>
      </c>
      <c r="G28" s="27">
        <v>8580.0</v>
      </c>
      <c r="H28" s="27">
        <v>4690.0</v>
      </c>
      <c r="I28" s="27">
        <v>26000.0</v>
      </c>
      <c r="J28" s="27">
        <v>2887.0</v>
      </c>
      <c r="K28" s="27">
        <v>6639.0</v>
      </c>
      <c r="L28" s="27">
        <v>8074.34</v>
      </c>
      <c r="M28" s="27">
        <v>5983.73</v>
      </c>
      <c r="N28" s="27">
        <f>12087+5500</f>
        <v>17587</v>
      </c>
      <c r="O28" s="30">
        <f>93244.07+5500</f>
        <v>98744.07</v>
      </c>
      <c r="P28" s="421">
        <v>145151.16999999998</v>
      </c>
      <c r="Q28" s="434"/>
      <c r="R28" s="435"/>
      <c r="S28" s="435"/>
      <c r="T28" s="442"/>
      <c r="U28" s="442"/>
      <c r="V28" s="442"/>
      <c r="W28" s="442"/>
      <c r="X28" s="442"/>
      <c r="Y28" s="442"/>
      <c r="Z28" s="442"/>
      <c r="AA28" s="442"/>
      <c r="AB28" s="442"/>
      <c r="AC28" s="442"/>
      <c r="AD28" s="442"/>
      <c r="AE28" s="442"/>
      <c r="AF28" s="442"/>
      <c r="AG28" s="441"/>
      <c r="AH28" s="419"/>
      <c r="AI28" s="419"/>
      <c r="AJ28" s="419"/>
      <c r="AK28" s="419"/>
      <c r="AL28" s="419"/>
      <c r="AM28" s="419"/>
      <c r="AN28" s="419"/>
      <c r="AO28" s="419"/>
      <c r="AP28" s="419"/>
      <c r="AQ28" s="419"/>
    </row>
    <row r="29" hidden="1">
      <c r="A29" s="429">
        <v>25.0</v>
      </c>
      <c r="R29" s="419"/>
      <c r="S29" s="419"/>
      <c r="T29" s="419"/>
      <c r="U29" s="419"/>
      <c r="V29" s="419"/>
      <c r="W29" s="419"/>
      <c r="X29" s="419"/>
      <c r="Y29" s="419"/>
      <c r="Z29" s="419"/>
      <c r="AA29" s="419"/>
      <c r="AB29" s="419"/>
      <c r="AC29" s="433"/>
      <c r="AD29" s="419"/>
      <c r="AE29" s="419"/>
      <c r="AF29" s="419"/>
      <c r="AG29" s="419"/>
      <c r="AH29" s="419"/>
      <c r="AI29" s="419"/>
      <c r="AJ29" s="419"/>
      <c r="AK29" s="419"/>
      <c r="AL29" s="419"/>
      <c r="AM29" s="419"/>
      <c r="AN29" s="419"/>
      <c r="AO29" s="419"/>
      <c r="AP29" s="419"/>
      <c r="AQ29" s="419"/>
    </row>
    <row r="30" hidden="1">
      <c r="A30" s="429">
        <v>26.0</v>
      </c>
      <c r="R30" s="419"/>
      <c r="S30" s="419"/>
      <c r="T30" s="419"/>
      <c r="U30" s="419"/>
      <c r="V30" s="419"/>
      <c r="W30" s="419"/>
      <c r="X30" s="419"/>
      <c r="Y30" s="419"/>
      <c r="Z30" s="419"/>
      <c r="AA30" s="419"/>
      <c r="AB30" s="419"/>
      <c r="AC30" s="433"/>
      <c r="AD30" s="419"/>
      <c r="AE30" s="419"/>
      <c r="AF30" s="419"/>
      <c r="AG30" s="419"/>
      <c r="AH30" s="419"/>
      <c r="AI30" s="419"/>
      <c r="AJ30" s="419"/>
      <c r="AK30" s="419"/>
      <c r="AL30" s="419"/>
      <c r="AM30" s="419"/>
      <c r="AN30" s="419"/>
      <c r="AO30" s="419"/>
      <c r="AP30" s="419"/>
      <c r="AQ30" s="419"/>
    </row>
    <row r="31">
      <c r="A31" s="310" t="s">
        <v>158</v>
      </c>
      <c r="B31" s="27">
        <v>15800.0</v>
      </c>
      <c r="C31" s="27">
        <v>2239.0</v>
      </c>
      <c r="D31" s="27">
        <v>4599.0</v>
      </c>
      <c r="E31" s="27">
        <v>992.0</v>
      </c>
      <c r="F31" s="27">
        <v>240.0</v>
      </c>
      <c r="G31" s="27">
        <v>8580.2</v>
      </c>
      <c r="H31" s="27">
        <v>5000.0</v>
      </c>
      <c r="I31" s="27">
        <v>27071.0</v>
      </c>
      <c r="J31" s="27">
        <v>6569.0</v>
      </c>
      <c r="K31" s="27">
        <v>4750.0</v>
      </c>
      <c r="L31" s="27">
        <v>7367.5</v>
      </c>
      <c r="M31" s="27">
        <v>7328.52</v>
      </c>
      <c r="N31" s="27">
        <v>22917.0</v>
      </c>
      <c r="O31" s="368">
        <f>SUM(B31:N31)</f>
        <v>113453.22</v>
      </c>
      <c r="P31" s="421">
        <v>138070.33000000002</v>
      </c>
      <c r="Q31" s="434"/>
      <c r="R31" s="436"/>
      <c r="S31" s="449"/>
      <c r="T31" s="423"/>
      <c r="U31" s="423"/>
      <c r="V31" s="423"/>
      <c r="W31" s="423"/>
      <c r="X31" s="423"/>
      <c r="Y31" s="423"/>
      <c r="Z31" s="423"/>
      <c r="AA31" s="423"/>
      <c r="AB31" s="423"/>
      <c r="AC31" s="423"/>
      <c r="AD31" s="448"/>
      <c r="AE31" s="423"/>
      <c r="AF31" s="423"/>
      <c r="AG31" s="419"/>
      <c r="AH31" s="419"/>
      <c r="AI31" s="419"/>
      <c r="AJ31" s="419"/>
      <c r="AK31" s="419"/>
      <c r="AL31" s="419"/>
      <c r="AM31" s="419"/>
      <c r="AN31" s="419"/>
      <c r="AO31" s="419"/>
      <c r="AP31" s="419"/>
      <c r="AQ31" s="419"/>
    </row>
    <row r="32" hidden="1">
      <c r="A32" s="429">
        <v>28.0</v>
      </c>
      <c r="R32" s="419"/>
      <c r="S32" s="419"/>
      <c r="T32" s="419"/>
      <c r="U32" s="419"/>
      <c r="V32" s="419"/>
      <c r="W32" s="419"/>
      <c r="X32" s="419"/>
      <c r="Y32" s="419"/>
      <c r="Z32" s="419"/>
      <c r="AA32" s="419"/>
      <c r="AB32" s="419"/>
      <c r="AC32" s="433"/>
      <c r="AD32" s="419"/>
      <c r="AE32" s="419"/>
      <c r="AF32" s="419"/>
      <c r="AG32" s="419">
        <v>48950.0</v>
      </c>
      <c r="AH32" s="419"/>
      <c r="AI32" s="419"/>
      <c r="AJ32" s="419"/>
      <c r="AK32" s="419"/>
      <c r="AL32" s="419"/>
      <c r="AM32" s="419"/>
      <c r="AN32" s="419"/>
      <c r="AO32" s="419"/>
      <c r="AP32" s="419"/>
      <c r="AQ32" s="419"/>
    </row>
    <row r="33" hidden="1">
      <c r="A33" s="429">
        <v>29.0</v>
      </c>
      <c r="R33" s="419"/>
      <c r="S33" s="419"/>
      <c r="T33" s="419"/>
      <c r="U33" s="419"/>
      <c r="V33" s="419"/>
      <c r="W33" s="419"/>
      <c r="X33" s="419"/>
      <c r="Y33" s="419"/>
      <c r="Z33" s="419"/>
      <c r="AA33" s="419"/>
      <c r="AB33" s="419"/>
      <c r="AC33" s="433"/>
      <c r="AD33" s="419"/>
      <c r="AE33" s="419"/>
      <c r="AF33" s="419"/>
      <c r="AG33" s="419"/>
      <c r="AH33" s="419"/>
      <c r="AI33" s="419"/>
      <c r="AJ33" s="419"/>
      <c r="AK33" s="419"/>
      <c r="AL33" s="419"/>
      <c r="AM33" s="419"/>
      <c r="AN33" s="419"/>
      <c r="AO33" s="419"/>
      <c r="AP33" s="419"/>
      <c r="AQ33" s="419"/>
    </row>
    <row r="34" hidden="1">
      <c r="A34" s="450"/>
      <c r="P34" s="434"/>
      <c r="Q34" s="434"/>
      <c r="R34" s="423"/>
      <c r="S34" s="423"/>
      <c r="T34" s="423"/>
      <c r="U34" s="423"/>
      <c r="V34" s="423"/>
      <c r="W34" s="423"/>
      <c r="X34" s="423"/>
      <c r="Y34" s="423"/>
      <c r="Z34" s="423"/>
      <c r="AA34" s="423"/>
      <c r="AB34" s="423"/>
      <c r="AC34" s="448"/>
      <c r="AD34" s="423"/>
      <c r="AE34" s="423"/>
      <c r="AF34" s="423"/>
      <c r="AG34" s="419"/>
      <c r="AH34" s="419"/>
      <c r="AI34" s="419"/>
      <c r="AJ34" s="419"/>
      <c r="AK34" s="419"/>
      <c r="AL34" s="419"/>
      <c r="AM34" s="419"/>
      <c r="AN34" s="419"/>
      <c r="AO34" s="419"/>
      <c r="AP34" s="419"/>
      <c r="AQ34" s="419"/>
    </row>
    <row r="35">
      <c r="A35" s="19" t="s">
        <v>159</v>
      </c>
      <c r="B35" s="27">
        <v>6475.0</v>
      </c>
      <c r="C35" s="27">
        <v>2099.0</v>
      </c>
      <c r="D35" s="27">
        <v>4867.0</v>
      </c>
      <c r="E35" s="27">
        <v>650.0</v>
      </c>
      <c r="F35" s="27">
        <v>600.0</v>
      </c>
      <c r="G35" s="27">
        <v>8580.0</v>
      </c>
      <c r="H35" s="27">
        <v>3650.0</v>
      </c>
      <c r="I35" s="27">
        <v>24525.0</v>
      </c>
      <c r="J35" s="27">
        <v>2456.0</v>
      </c>
      <c r="K35" s="27">
        <v>5029.0</v>
      </c>
      <c r="L35" s="27">
        <v>4850.0</v>
      </c>
      <c r="M35" s="27">
        <v>7833.0</v>
      </c>
      <c r="N35" s="27">
        <v>11083.0</v>
      </c>
      <c r="O35" s="27">
        <v>82697.0</v>
      </c>
      <c r="P35" s="30">
        <v>170015.44</v>
      </c>
    </row>
  </sheetData>
  <autoFilter ref="$A$4:$AQ$35">
    <filterColumn colId="1">
      <filters>
        <filter val="62,142"/>
        <filter val="29,950"/>
        <filter val="7,980"/>
        <filter val="50,513"/>
        <filter val="15,800"/>
        <filter val="6,740"/>
        <filter val="6,475"/>
        <filter val="950"/>
        <filter val="34,306"/>
        <filter val="12,038"/>
        <filter val="1,700"/>
        <filter val="3,379"/>
      </filters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</cols>
  <sheetData>
    <row r="2">
      <c r="A2" s="74" t="s">
        <v>160</v>
      </c>
      <c r="B2" s="71"/>
      <c r="C2" s="72" t="s">
        <v>41</v>
      </c>
      <c r="D2" s="73" t="s">
        <v>161</v>
      </c>
      <c r="E2" s="73" t="s">
        <v>162</v>
      </c>
      <c r="G2" s="74" t="s">
        <v>163</v>
      </c>
      <c r="H2" s="71"/>
      <c r="I2" s="72" t="s">
        <v>44</v>
      </c>
      <c r="J2" s="73" t="s">
        <v>161</v>
      </c>
      <c r="K2" s="73" t="s">
        <v>162</v>
      </c>
    </row>
    <row r="3">
      <c r="A3" s="76" t="s">
        <v>45</v>
      </c>
      <c r="B3" s="76" t="s">
        <v>46</v>
      </c>
      <c r="C3" s="451"/>
      <c r="D3" s="77">
        <f>SUM(C4:C81)</f>
        <v>70230.423</v>
      </c>
      <c r="E3" s="78"/>
      <c r="F3" s="452"/>
      <c r="G3" s="76" t="s">
        <v>45</v>
      </c>
      <c r="H3" s="76" t="s">
        <v>46</v>
      </c>
      <c r="I3" s="453"/>
      <c r="J3" s="77">
        <f>SUM(I4:I81)</f>
        <v>76729.968</v>
      </c>
      <c r="K3" s="79"/>
    </row>
    <row r="4">
      <c r="A4" s="454">
        <v>44565.0</v>
      </c>
      <c r="B4" s="455">
        <v>12500.0</v>
      </c>
      <c r="C4" s="456">
        <f t="shared" ref="C4:C5" si="1">B4*0.1</f>
        <v>1250</v>
      </c>
      <c r="D4" s="457"/>
      <c r="E4" s="457"/>
      <c r="F4" s="458"/>
      <c r="G4" s="459">
        <v>44206.0</v>
      </c>
      <c r="H4" s="460">
        <v>23889.7</v>
      </c>
      <c r="I4" s="461">
        <f t="shared" ref="I4:I18" si="2">H4*10%</f>
        <v>2388.97</v>
      </c>
      <c r="J4" s="462"/>
      <c r="K4" s="462"/>
    </row>
    <row r="5">
      <c r="A5" s="454">
        <v>44581.0</v>
      </c>
      <c r="B5" s="455">
        <v>12500.0</v>
      </c>
      <c r="C5" s="456">
        <f t="shared" si="1"/>
        <v>1250</v>
      </c>
      <c r="D5" s="457"/>
      <c r="E5" s="231"/>
      <c r="F5" s="458"/>
      <c r="G5" s="459">
        <v>44221.0</v>
      </c>
      <c r="H5" s="460">
        <v>20515.0</v>
      </c>
      <c r="I5" s="461">
        <f t="shared" si="2"/>
        <v>2051.5</v>
      </c>
      <c r="J5" s="462"/>
      <c r="K5" s="462"/>
    </row>
    <row r="6">
      <c r="A6" s="463">
        <v>44587.0</v>
      </c>
      <c r="B6" s="455">
        <v>6000.0</v>
      </c>
      <c r="C6" s="455">
        <v>600.0</v>
      </c>
      <c r="D6" s="457"/>
      <c r="E6" s="231"/>
      <c r="F6" s="464"/>
      <c r="G6" s="459">
        <v>44223.0</v>
      </c>
      <c r="H6" s="465">
        <v>25000.0</v>
      </c>
      <c r="I6" s="461">
        <f t="shared" si="2"/>
        <v>2500</v>
      </c>
      <c r="J6" s="462"/>
      <c r="K6" s="462"/>
    </row>
    <row r="7">
      <c r="A7" s="454">
        <v>44597.0</v>
      </c>
      <c r="B7" s="455">
        <v>12500.0</v>
      </c>
      <c r="C7" s="456">
        <f t="shared" ref="C7:C14" si="3">B7*0.1</f>
        <v>1250</v>
      </c>
      <c r="D7" s="457"/>
      <c r="E7" s="77"/>
      <c r="F7" s="464"/>
      <c r="G7" s="454">
        <v>44602.0</v>
      </c>
      <c r="H7" s="455">
        <v>24564.0</v>
      </c>
      <c r="I7" s="461">
        <f t="shared" si="2"/>
        <v>2456.4</v>
      </c>
      <c r="J7" s="462"/>
      <c r="K7" s="466"/>
    </row>
    <row r="8">
      <c r="A8" s="454">
        <v>44602.0</v>
      </c>
      <c r="B8" s="455">
        <v>9987.65</v>
      </c>
      <c r="C8" s="456">
        <f t="shared" si="3"/>
        <v>998.765</v>
      </c>
      <c r="D8" s="457"/>
      <c r="E8" s="77"/>
      <c r="F8" s="464"/>
      <c r="G8" s="454">
        <v>44619.0</v>
      </c>
      <c r="H8" s="455">
        <v>22487.11</v>
      </c>
      <c r="I8" s="461">
        <f t="shared" si="2"/>
        <v>2248.711</v>
      </c>
      <c r="J8" s="462"/>
      <c r="K8" s="462"/>
    </row>
    <row r="9">
      <c r="A9" s="463">
        <v>44604.0</v>
      </c>
      <c r="B9" s="467">
        <v>6314.72</v>
      </c>
      <c r="C9" s="456">
        <f t="shared" si="3"/>
        <v>631.472</v>
      </c>
      <c r="D9" s="457"/>
      <c r="E9" s="77"/>
      <c r="F9" s="464"/>
      <c r="G9" s="459">
        <v>44626.0</v>
      </c>
      <c r="H9" s="455"/>
      <c r="I9" s="461">
        <f t="shared" si="2"/>
        <v>0</v>
      </c>
      <c r="J9" s="462"/>
      <c r="K9" s="468">
        <v>500.0</v>
      </c>
    </row>
    <row r="10">
      <c r="A10" s="454">
        <v>44613.0</v>
      </c>
      <c r="B10" s="455">
        <v>12500.0</v>
      </c>
      <c r="C10" s="456">
        <f t="shared" si="3"/>
        <v>1250</v>
      </c>
      <c r="D10" s="457"/>
      <c r="E10" s="77"/>
      <c r="F10" s="464"/>
      <c r="G10" s="459">
        <v>44628.0</v>
      </c>
      <c r="H10" s="455">
        <v>26169.22</v>
      </c>
      <c r="I10" s="461">
        <f t="shared" si="2"/>
        <v>2616.922</v>
      </c>
      <c r="J10" s="462"/>
      <c r="K10" s="469"/>
    </row>
    <row r="11">
      <c r="A11" s="454">
        <v>44612.0</v>
      </c>
      <c r="B11" s="455">
        <v>6336.89</v>
      </c>
      <c r="C11" s="456">
        <f t="shared" si="3"/>
        <v>633.689</v>
      </c>
      <c r="D11" s="457"/>
      <c r="E11" s="77"/>
      <c r="F11" s="464"/>
      <c r="G11" s="470">
        <v>44637.0</v>
      </c>
      <c r="H11" s="465">
        <v>25000.0</v>
      </c>
      <c r="I11" s="461">
        <f t="shared" si="2"/>
        <v>2500</v>
      </c>
      <c r="J11" s="462"/>
      <c r="K11" s="77"/>
    </row>
    <row r="12">
      <c r="A12" s="471">
        <v>44618.0</v>
      </c>
      <c r="B12" s="455">
        <v>7596.09</v>
      </c>
      <c r="C12" s="456">
        <f t="shared" si="3"/>
        <v>759.609</v>
      </c>
      <c r="D12" s="457"/>
      <c r="E12" s="77"/>
      <c r="F12" s="464"/>
      <c r="G12" s="470">
        <v>44643.0</v>
      </c>
      <c r="H12" s="455">
        <v>22967.0</v>
      </c>
      <c r="I12" s="461">
        <f t="shared" si="2"/>
        <v>2296.7</v>
      </c>
      <c r="J12" s="462"/>
      <c r="K12" s="200"/>
    </row>
    <row r="13">
      <c r="A13" s="471">
        <v>44621.0</v>
      </c>
      <c r="B13" s="455">
        <v>7000.0</v>
      </c>
      <c r="C13" s="456">
        <f t="shared" si="3"/>
        <v>700</v>
      </c>
      <c r="D13" s="457"/>
      <c r="E13" s="200"/>
      <c r="F13" s="464"/>
      <c r="G13" s="470">
        <v>44657.0</v>
      </c>
      <c r="H13" s="455">
        <v>24893.25</v>
      </c>
      <c r="I13" s="461">
        <f t="shared" si="2"/>
        <v>2489.325</v>
      </c>
      <c r="J13" s="462"/>
      <c r="K13" s="77"/>
    </row>
    <row r="14">
      <c r="A14" s="471">
        <v>44625.0</v>
      </c>
      <c r="B14" s="455">
        <v>12500.0</v>
      </c>
      <c r="C14" s="456">
        <f t="shared" si="3"/>
        <v>1250</v>
      </c>
      <c r="D14" s="457"/>
      <c r="E14" s="77"/>
      <c r="F14" s="464"/>
      <c r="G14" s="470">
        <v>44672.0</v>
      </c>
      <c r="H14" s="472">
        <v>23013.0</v>
      </c>
      <c r="I14" s="461">
        <f t="shared" si="2"/>
        <v>2301.3</v>
      </c>
      <c r="J14" s="466"/>
      <c r="K14" s="77"/>
    </row>
    <row r="15">
      <c r="A15" s="473">
        <v>44626.0</v>
      </c>
      <c r="B15" s="474"/>
      <c r="C15" s="456"/>
      <c r="D15" s="457"/>
      <c r="E15" s="475">
        <v>500.0</v>
      </c>
      <c r="F15" s="464"/>
      <c r="G15" s="470">
        <v>44687.0</v>
      </c>
      <c r="H15" s="476">
        <v>23173.5</v>
      </c>
      <c r="I15" s="461">
        <f t="shared" si="2"/>
        <v>2317.35</v>
      </c>
      <c r="J15" s="477"/>
      <c r="K15" s="77"/>
    </row>
    <row r="16">
      <c r="A16" s="463">
        <v>44627.0</v>
      </c>
      <c r="B16" s="455">
        <v>7713.32</v>
      </c>
      <c r="C16" s="456">
        <f t="shared" ref="C16:C53" si="4">B16*0.1</f>
        <v>771.332</v>
      </c>
      <c r="D16" s="457"/>
      <c r="E16" s="77"/>
      <c r="F16" s="464"/>
      <c r="G16" s="463">
        <v>44693.0</v>
      </c>
      <c r="H16" s="455">
        <v>25000.0</v>
      </c>
      <c r="I16" s="461">
        <f t="shared" si="2"/>
        <v>2500</v>
      </c>
      <c r="J16" s="466"/>
      <c r="K16" s="77"/>
    </row>
    <row r="17">
      <c r="A17" s="473">
        <v>44632.0</v>
      </c>
      <c r="B17" s="474">
        <v>7744.41</v>
      </c>
      <c r="C17" s="456">
        <f t="shared" si="4"/>
        <v>774.441</v>
      </c>
      <c r="D17" s="457"/>
      <c r="E17" s="77"/>
      <c r="F17" s="464"/>
      <c r="G17" s="470">
        <v>44704.0</v>
      </c>
      <c r="H17" s="455">
        <v>25094.0</v>
      </c>
      <c r="I17" s="461">
        <f t="shared" si="2"/>
        <v>2509.4</v>
      </c>
      <c r="J17" s="466"/>
      <c r="K17" s="77"/>
    </row>
    <row r="18">
      <c r="A18" s="470">
        <v>44637.0</v>
      </c>
      <c r="B18" s="474">
        <v>6000.0</v>
      </c>
      <c r="C18" s="456">
        <f t="shared" si="4"/>
        <v>600</v>
      </c>
      <c r="D18" s="457"/>
      <c r="E18" s="77"/>
      <c r="F18" s="464"/>
      <c r="G18" s="470">
        <v>44719.0</v>
      </c>
      <c r="H18" s="455">
        <v>23233.97</v>
      </c>
      <c r="I18" s="461">
        <f t="shared" si="2"/>
        <v>2323.397</v>
      </c>
      <c r="J18" s="466"/>
      <c r="K18" s="77"/>
    </row>
    <row r="19">
      <c r="A19" s="470">
        <v>44639.0</v>
      </c>
      <c r="B19" s="455">
        <v>7741.45</v>
      </c>
      <c r="C19" s="456">
        <f t="shared" si="4"/>
        <v>774.145</v>
      </c>
      <c r="D19" s="457"/>
      <c r="E19" s="77"/>
      <c r="F19" s="464"/>
      <c r="G19" s="470">
        <v>44735.0</v>
      </c>
      <c r="H19" s="455">
        <v>23703.53</v>
      </c>
      <c r="I19" s="478">
        <v>2370.0</v>
      </c>
      <c r="J19" s="466"/>
      <c r="K19" s="77"/>
    </row>
    <row r="20">
      <c r="A20" s="471">
        <v>44641.0</v>
      </c>
      <c r="B20" s="455">
        <v>12500.0</v>
      </c>
      <c r="C20" s="456">
        <f t="shared" si="4"/>
        <v>1250</v>
      </c>
      <c r="D20" s="457"/>
      <c r="E20" s="479"/>
      <c r="F20" s="464"/>
      <c r="G20" s="470">
        <v>44740.0</v>
      </c>
      <c r="H20" s="455">
        <v>25000.0</v>
      </c>
      <c r="I20" s="478">
        <f t="shared" ref="I20:I22" si="5">H20*10%</f>
        <v>2500</v>
      </c>
      <c r="J20" s="466"/>
      <c r="K20" s="77"/>
    </row>
    <row r="21">
      <c r="A21" s="471">
        <v>44646.0</v>
      </c>
      <c r="B21" s="455">
        <v>7713.32</v>
      </c>
      <c r="C21" s="456">
        <f t="shared" si="4"/>
        <v>771.332</v>
      </c>
      <c r="D21" s="457"/>
      <c r="E21" s="77"/>
      <c r="F21" s="464"/>
      <c r="G21" s="470">
        <v>44748.0</v>
      </c>
      <c r="H21" s="455">
        <v>24371.56</v>
      </c>
      <c r="I21" s="478">
        <f t="shared" si="5"/>
        <v>2437.156</v>
      </c>
      <c r="J21" s="466"/>
      <c r="K21" s="77"/>
    </row>
    <row r="22">
      <c r="A22" s="463">
        <v>44653.0</v>
      </c>
      <c r="B22" s="474">
        <v>7627.47</v>
      </c>
      <c r="C22" s="456">
        <f t="shared" si="4"/>
        <v>762.747</v>
      </c>
      <c r="D22" s="457"/>
      <c r="E22" s="77"/>
      <c r="F22" s="464"/>
      <c r="G22" s="470">
        <v>44761.0</v>
      </c>
      <c r="H22" s="455">
        <v>24757.24</v>
      </c>
      <c r="I22" s="478">
        <f t="shared" si="5"/>
        <v>2475.724</v>
      </c>
      <c r="J22" s="466"/>
      <c r="K22" s="77"/>
    </row>
    <row r="23">
      <c r="A23" s="463">
        <v>44655.0</v>
      </c>
      <c r="B23" s="455">
        <v>12500.0</v>
      </c>
      <c r="C23" s="456">
        <f t="shared" si="4"/>
        <v>1250</v>
      </c>
      <c r="D23" s="457"/>
      <c r="E23" s="77"/>
      <c r="F23" s="464"/>
      <c r="G23" s="480">
        <v>44778.0</v>
      </c>
      <c r="H23" s="474">
        <v>57702.0</v>
      </c>
      <c r="I23" s="481">
        <f>H23*0.1</f>
        <v>5770.2</v>
      </c>
      <c r="J23" s="466"/>
      <c r="K23" s="77"/>
    </row>
    <row r="24">
      <c r="A24" s="463">
        <v>44659.0</v>
      </c>
      <c r="B24" s="455">
        <v>7637.83</v>
      </c>
      <c r="C24" s="456">
        <f t="shared" si="4"/>
        <v>763.783</v>
      </c>
      <c r="D24" s="457"/>
      <c r="E24" s="77"/>
      <c r="F24" s="464"/>
      <c r="G24" s="463">
        <v>44794.0</v>
      </c>
      <c r="H24" s="455"/>
      <c r="I24" s="456"/>
      <c r="J24" s="482"/>
      <c r="K24" s="468">
        <v>500.0</v>
      </c>
    </row>
    <row r="25">
      <c r="A25" s="463">
        <v>44668.0</v>
      </c>
      <c r="B25" s="455">
        <v>4613.84</v>
      </c>
      <c r="C25" s="456">
        <f t="shared" si="4"/>
        <v>461.384</v>
      </c>
      <c r="D25" s="457"/>
      <c r="E25" s="77"/>
      <c r="F25" s="483"/>
      <c r="G25" s="470">
        <v>44801.0</v>
      </c>
      <c r="H25" s="484">
        <v>22471.0</v>
      </c>
      <c r="I25" s="485">
        <f t="shared" ref="I25:I35" si="6">H25*0.1</f>
        <v>2247.1</v>
      </c>
      <c r="J25" s="486"/>
      <c r="K25" s="466"/>
    </row>
    <row r="26">
      <c r="A26" s="463">
        <v>44671.0</v>
      </c>
      <c r="B26" s="487">
        <v>12500.0</v>
      </c>
      <c r="C26" s="456">
        <f t="shared" si="4"/>
        <v>1250</v>
      </c>
      <c r="D26" s="457"/>
      <c r="E26" s="77"/>
      <c r="F26" s="483"/>
      <c r="G26" s="470">
        <v>44811.0</v>
      </c>
      <c r="H26" s="455">
        <v>29562.5</v>
      </c>
      <c r="I26" s="485">
        <f t="shared" si="6"/>
        <v>2956.25</v>
      </c>
      <c r="J26" s="466"/>
      <c r="K26" s="466"/>
    </row>
    <row r="27">
      <c r="A27" s="463">
        <v>44672.0</v>
      </c>
      <c r="B27" s="487">
        <v>6365.0</v>
      </c>
      <c r="C27" s="456">
        <f t="shared" si="4"/>
        <v>636.5</v>
      </c>
      <c r="D27" s="457"/>
      <c r="E27" s="77"/>
      <c r="F27" s="483"/>
      <c r="G27" s="470">
        <v>44826.0</v>
      </c>
      <c r="H27" s="455">
        <v>25378.73</v>
      </c>
      <c r="I27" s="485">
        <f t="shared" si="6"/>
        <v>2537.873</v>
      </c>
      <c r="J27" s="466"/>
      <c r="K27" s="466"/>
    </row>
    <row r="28">
      <c r="A28" s="463">
        <v>44674.0</v>
      </c>
      <c r="B28" s="455">
        <v>7747.37</v>
      </c>
      <c r="C28" s="456">
        <f t="shared" si="4"/>
        <v>774.737</v>
      </c>
      <c r="D28" s="457"/>
      <c r="E28" s="77"/>
      <c r="F28" s="464"/>
      <c r="G28" s="470">
        <v>44839.0</v>
      </c>
      <c r="H28" s="455">
        <v>25793.39</v>
      </c>
      <c r="I28" s="485">
        <f t="shared" si="6"/>
        <v>2579.339</v>
      </c>
      <c r="J28" s="466"/>
      <c r="K28" s="466"/>
    </row>
    <row r="29">
      <c r="A29" s="463">
        <v>44680.0</v>
      </c>
      <c r="B29" s="455">
        <v>7744.41</v>
      </c>
      <c r="C29" s="456">
        <f t="shared" si="4"/>
        <v>774.441</v>
      </c>
      <c r="D29" s="457"/>
      <c r="E29" s="77"/>
      <c r="F29" s="488"/>
      <c r="G29" s="470">
        <v>44839.0</v>
      </c>
      <c r="H29" s="455">
        <v>25000.0</v>
      </c>
      <c r="I29" s="485">
        <f t="shared" si="6"/>
        <v>2500</v>
      </c>
      <c r="J29" s="83"/>
      <c r="K29" s="489"/>
    </row>
    <row r="30">
      <c r="A30" s="463">
        <v>44686.0</v>
      </c>
      <c r="B30" s="455">
        <v>12500.0</v>
      </c>
      <c r="C30" s="456">
        <f t="shared" si="4"/>
        <v>1250</v>
      </c>
      <c r="D30" s="457"/>
      <c r="E30" s="77"/>
      <c r="G30" s="470">
        <v>44858.0</v>
      </c>
      <c r="H30" s="455">
        <v>25992.51</v>
      </c>
      <c r="I30" s="485">
        <f t="shared" si="6"/>
        <v>2599.251</v>
      </c>
      <c r="J30" s="132"/>
      <c r="K30" s="83"/>
    </row>
    <row r="31">
      <c r="A31" s="463">
        <v>44688.0</v>
      </c>
      <c r="B31" s="455">
        <v>7759.21</v>
      </c>
      <c r="C31" s="456">
        <f t="shared" si="4"/>
        <v>775.921</v>
      </c>
      <c r="D31" s="457"/>
      <c r="E31" s="77"/>
      <c r="G31" s="470">
        <v>44873.0</v>
      </c>
      <c r="H31" s="455">
        <v>25700.0</v>
      </c>
      <c r="I31" s="485">
        <f t="shared" si="6"/>
        <v>2570</v>
      </c>
      <c r="J31" s="83"/>
      <c r="K31" s="83"/>
    </row>
    <row r="32">
      <c r="A32" s="463">
        <v>44693.0</v>
      </c>
      <c r="B32" s="455">
        <v>6000.0</v>
      </c>
      <c r="C32" s="456">
        <f t="shared" si="4"/>
        <v>600</v>
      </c>
      <c r="D32" s="457"/>
      <c r="E32" s="77"/>
      <c r="F32" s="490"/>
      <c r="G32" s="470">
        <v>44887.0</v>
      </c>
      <c r="H32" s="455">
        <v>22975.0</v>
      </c>
      <c r="I32" s="485">
        <f t="shared" si="6"/>
        <v>2297.5</v>
      </c>
      <c r="J32" s="83"/>
      <c r="K32" s="83"/>
    </row>
    <row r="33">
      <c r="A33" s="463">
        <v>44695.0</v>
      </c>
      <c r="B33" s="455">
        <v>7753.29</v>
      </c>
      <c r="C33" s="456">
        <f t="shared" si="4"/>
        <v>775.329</v>
      </c>
      <c r="D33" s="457"/>
      <c r="E33" s="77"/>
      <c r="F33" s="490"/>
      <c r="G33" s="470">
        <v>44888.0</v>
      </c>
      <c r="H33" s="455">
        <v>25000.0</v>
      </c>
      <c r="I33" s="485">
        <f t="shared" si="6"/>
        <v>2500</v>
      </c>
      <c r="J33" s="83"/>
      <c r="K33" s="489"/>
    </row>
    <row r="34">
      <c r="A34" s="463">
        <v>44701.0</v>
      </c>
      <c r="B34" s="455">
        <v>12500.0</v>
      </c>
      <c r="C34" s="456">
        <f t="shared" si="4"/>
        <v>1250</v>
      </c>
      <c r="D34" s="457"/>
      <c r="E34" s="77"/>
      <c r="F34" s="490"/>
      <c r="G34" s="470">
        <v>44902.0</v>
      </c>
      <c r="H34" s="455">
        <v>24646.0</v>
      </c>
      <c r="I34" s="485">
        <f t="shared" si="6"/>
        <v>2464.6</v>
      </c>
      <c r="J34" s="83"/>
      <c r="K34" s="83"/>
    </row>
    <row r="35">
      <c r="A35" s="463">
        <v>44703.0</v>
      </c>
      <c r="B35" s="455">
        <v>7728.12</v>
      </c>
      <c r="C35" s="456">
        <f t="shared" si="4"/>
        <v>772.812</v>
      </c>
      <c r="D35" s="457"/>
      <c r="E35" s="77"/>
      <c r="F35" s="490"/>
      <c r="G35" s="470">
        <v>44916.0</v>
      </c>
      <c r="H35" s="491">
        <v>24250.0</v>
      </c>
      <c r="I35" s="485">
        <f t="shared" si="6"/>
        <v>2425</v>
      </c>
      <c r="J35" s="83"/>
      <c r="K35" s="83"/>
    </row>
    <row r="36">
      <c r="A36" s="463">
        <v>44709.0</v>
      </c>
      <c r="B36" s="455">
        <v>7732.56</v>
      </c>
      <c r="C36" s="456">
        <f t="shared" si="4"/>
        <v>773.256</v>
      </c>
      <c r="D36" s="457"/>
      <c r="E36" s="77"/>
      <c r="F36" s="490"/>
      <c r="G36" s="411"/>
      <c r="H36" s="411"/>
      <c r="I36" s="411"/>
      <c r="J36" s="411"/>
      <c r="K36" s="411"/>
    </row>
    <row r="37">
      <c r="A37" s="463">
        <v>44716.0</v>
      </c>
      <c r="B37" s="455">
        <v>7831.74</v>
      </c>
      <c r="C37" s="456">
        <f t="shared" si="4"/>
        <v>783.174</v>
      </c>
      <c r="D37" s="457"/>
      <c r="E37" s="77"/>
      <c r="F37" s="490"/>
      <c r="G37" s="411"/>
      <c r="H37" s="411"/>
      <c r="I37" s="411"/>
      <c r="J37" s="411"/>
      <c r="K37" s="411"/>
    </row>
    <row r="38">
      <c r="A38" s="463">
        <v>44717.0</v>
      </c>
      <c r="B38" s="455">
        <v>12500.0</v>
      </c>
      <c r="C38" s="456">
        <f t="shared" si="4"/>
        <v>1250</v>
      </c>
      <c r="D38" s="457"/>
      <c r="E38" s="77"/>
      <c r="F38" s="490"/>
      <c r="G38" s="411"/>
      <c r="H38" s="411"/>
      <c r="I38" s="411"/>
      <c r="J38" s="411"/>
      <c r="K38" s="411"/>
    </row>
    <row r="39">
      <c r="A39" s="463">
        <v>44724.0</v>
      </c>
      <c r="B39" s="455">
        <v>7853.94</v>
      </c>
      <c r="C39" s="456">
        <f t="shared" si="4"/>
        <v>785.394</v>
      </c>
      <c r="D39" s="457"/>
      <c r="E39" s="77"/>
      <c r="F39" s="490"/>
      <c r="G39" s="411"/>
      <c r="H39" s="411"/>
      <c r="I39" s="411"/>
      <c r="J39" s="411"/>
      <c r="K39" s="411"/>
    </row>
    <row r="40">
      <c r="A40" s="463">
        <v>44731.0</v>
      </c>
      <c r="B40" s="455">
        <v>7957.56</v>
      </c>
      <c r="C40" s="456">
        <f t="shared" si="4"/>
        <v>795.756</v>
      </c>
      <c r="D40" s="457"/>
      <c r="E40" s="77"/>
      <c r="F40" s="490"/>
      <c r="G40" s="411"/>
      <c r="H40" s="411"/>
      <c r="I40" s="411"/>
      <c r="J40" s="411"/>
      <c r="K40" s="411"/>
    </row>
    <row r="41">
      <c r="A41" s="463">
        <v>44732.0</v>
      </c>
      <c r="B41" s="455">
        <v>12500.0</v>
      </c>
      <c r="C41" s="456">
        <f t="shared" si="4"/>
        <v>1250</v>
      </c>
      <c r="D41" s="457"/>
      <c r="E41" s="77"/>
      <c r="F41" s="490"/>
      <c r="G41" s="411"/>
      <c r="H41" s="411"/>
      <c r="I41" s="411"/>
      <c r="J41" s="411"/>
      <c r="K41" s="411"/>
    </row>
    <row r="42">
      <c r="A42" s="463">
        <v>44740.0</v>
      </c>
      <c r="B42" s="467">
        <v>8114.46</v>
      </c>
      <c r="C42" s="456">
        <f t="shared" si="4"/>
        <v>811.446</v>
      </c>
      <c r="D42" s="457"/>
      <c r="E42" s="77"/>
      <c r="F42" s="490"/>
      <c r="G42" s="411"/>
      <c r="H42" s="411"/>
      <c r="I42" s="411"/>
      <c r="J42" s="411"/>
      <c r="K42" s="411"/>
    </row>
    <row r="43">
      <c r="A43" s="463">
        <v>44744.0</v>
      </c>
      <c r="B43" s="455">
        <v>8160.34</v>
      </c>
      <c r="C43" s="456">
        <f t="shared" si="4"/>
        <v>816.034</v>
      </c>
      <c r="D43" s="457"/>
      <c r="E43" s="77"/>
      <c r="F43" s="490"/>
      <c r="G43" s="411"/>
      <c r="H43" s="411"/>
      <c r="I43" s="411"/>
      <c r="J43" s="411"/>
      <c r="K43" s="411"/>
    </row>
    <row r="44">
      <c r="A44" s="463">
        <v>44747.0</v>
      </c>
      <c r="B44" s="455">
        <v>12500.0</v>
      </c>
      <c r="C44" s="456">
        <f t="shared" si="4"/>
        <v>1250</v>
      </c>
      <c r="D44" s="457"/>
      <c r="E44" s="77"/>
      <c r="F44" s="490"/>
      <c r="G44" s="411"/>
      <c r="H44" s="411"/>
      <c r="I44" s="411"/>
      <c r="J44" s="411"/>
      <c r="K44" s="411"/>
    </row>
    <row r="45">
      <c r="A45" s="463">
        <v>44758.0</v>
      </c>
      <c r="B45" s="455">
        <v>8332.05</v>
      </c>
      <c r="C45" s="456">
        <f t="shared" si="4"/>
        <v>833.205</v>
      </c>
      <c r="D45" s="457"/>
      <c r="E45" s="77"/>
      <c r="F45" s="490"/>
      <c r="G45" s="411"/>
      <c r="H45" s="411"/>
      <c r="I45" s="411"/>
      <c r="J45" s="411"/>
      <c r="K45" s="411"/>
    </row>
    <row r="46">
      <c r="A46" s="463">
        <v>44761.0</v>
      </c>
      <c r="B46" s="455">
        <v>12500.0</v>
      </c>
      <c r="C46" s="456">
        <f t="shared" si="4"/>
        <v>1250</v>
      </c>
      <c r="D46" s="457"/>
      <c r="E46" s="77"/>
      <c r="F46" s="490"/>
      <c r="G46" s="411"/>
      <c r="H46" s="411"/>
      <c r="I46" s="411"/>
      <c r="J46" s="411"/>
      <c r="K46" s="411"/>
    </row>
    <row r="47">
      <c r="A47" s="463">
        <v>44766.0</v>
      </c>
      <c r="B47" s="455">
        <v>8306.0</v>
      </c>
      <c r="C47" s="456">
        <f t="shared" si="4"/>
        <v>830.6</v>
      </c>
      <c r="D47" s="457"/>
      <c r="E47" s="77"/>
      <c r="F47" s="490"/>
      <c r="G47" s="411"/>
      <c r="H47" s="411"/>
      <c r="I47" s="411"/>
      <c r="J47" s="411"/>
      <c r="K47" s="411"/>
    </row>
    <row r="48">
      <c r="A48" s="463">
        <v>44773.0</v>
      </c>
      <c r="B48" s="455">
        <v>8194.39</v>
      </c>
      <c r="C48" s="456">
        <f t="shared" si="4"/>
        <v>819.439</v>
      </c>
      <c r="D48" s="457"/>
      <c r="E48" s="77"/>
      <c r="F48" s="490"/>
      <c r="G48" s="411"/>
      <c r="H48" s="411"/>
      <c r="I48" s="411"/>
      <c r="J48" s="411"/>
      <c r="K48" s="411"/>
    </row>
    <row r="49">
      <c r="A49" s="463">
        <v>44778.0</v>
      </c>
      <c r="B49" s="455">
        <v>12500.0</v>
      </c>
      <c r="C49" s="456">
        <f t="shared" si="4"/>
        <v>1250</v>
      </c>
      <c r="D49" s="457"/>
      <c r="E49" s="77"/>
      <c r="F49" s="490"/>
      <c r="G49" s="411"/>
      <c r="H49" s="411"/>
      <c r="I49" s="411"/>
      <c r="J49" s="411"/>
      <c r="K49" s="411"/>
    </row>
    <row r="50">
      <c r="A50" s="463">
        <v>44780.0</v>
      </c>
      <c r="B50" s="455">
        <v>8222.66</v>
      </c>
      <c r="C50" s="456">
        <f t="shared" si="4"/>
        <v>822.266</v>
      </c>
      <c r="D50" s="457"/>
      <c r="E50" s="77"/>
      <c r="F50" s="490"/>
      <c r="G50" s="411"/>
      <c r="H50" s="411"/>
      <c r="I50" s="411"/>
      <c r="J50" s="411"/>
      <c r="K50" s="411"/>
    </row>
    <row r="51">
      <c r="A51" s="463">
        <v>44788.0</v>
      </c>
      <c r="B51" s="455">
        <v>8247.17</v>
      </c>
      <c r="C51" s="456">
        <f t="shared" si="4"/>
        <v>824.717</v>
      </c>
      <c r="D51" s="457"/>
      <c r="E51" s="77"/>
      <c r="F51" s="490"/>
      <c r="G51" s="411"/>
      <c r="H51" s="411"/>
      <c r="I51" s="411"/>
      <c r="J51" s="411"/>
      <c r="K51" s="411"/>
    </row>
    <row r="52">
      <c r="A52" s="463">
        <v>44793.0</v>
      </c>
      <c r="B52" s="455">
        <v>12500.0</v>
      </c>
      <c r="C52" s="456">
        <f t="shared" si="4"/>
        <v>1250</v>
      </c>
      <c r="D52" s="457"/>
      <c r="E52" s="77"/>
      <c r="F52" s="490"/>
      <c r="G52" s="411"/>
      <c r="H52" s="411"/>
      <c r="I52" s="411"/>
      <c r="J52" s="411"/>
      <c r="K52" s="411"/>
    </row>
    <row r="53">
      <c r="A53" s="463">
        <v>44794.0</v>
      </c>
      <c r="B53" s="455">
        <v>8260.46</v>
      </c>
      <c r="C53" s="456">
        <f t="shared" si="4"/>
        <v>826.046</v>
      </c>
      <c r="D53" s="457"/>
      <c r="E53" s="77"/>
      <c r="F53" s="490"/>
      <c r="G53" s="411"/>
      <c r="H53" s="411"/>
      <c r="I53" s="411"/>
      <c r="J53" s="411"/>
      <c r="K53" s="411"/>
    </row>
    <row r="54">
      <c r="A54" s="463">
        <v>44794.0</v>
      </c>
      <c r="B54" s="455"/>
      <c r="C54" s="456"/>
      <c r="D54" s="492"/>
      <c r="E54" s="468">
        <v>500.0</v>
      </c>
      <c r="F54" s="490"/>
      <c r="G54" s="411"/>
      <c r="H54" s="411"/>
      <c r="I54" s="411"/>
      <c r="J54" s="411"/>
      <c r="K54" s="411"/>
    </row>
    <row r="55">
      <c r="A55" s="463">
        <v>44803.0</v>
      </c>
      <c r="B55" s="455">
        <v>8300.32</v>
      </c>
      <c r="C55" s="456">
        <f>B55*0.1-500</f>
        <v>330.032</v>
      </c>
      <c r="D55" s="493" t="s">
        <v>164</v>
      </c>
      <c r="E55" s="77"/>
      <c r="F55" s="490"/>
      <c r="G55" s="411"/>
      <c r="H55" s="411"/>
      <c r="I55" s="411"/>
      <c r="J55" s="411"/>
      <c r="K55" s="411"/>
    </row>
    <row r="56">
      <c r="A56" s="463">
        <v>44807.0</v>
      </c>
      <c r="B56" s="455">
        <v>8399.24</v>
      </c>
      <c r="C56" s="456">
        <f>B56*0.1</f>
        <v>839.924</v>
      </c>
      <c r="D56" s="77"/>
      <c r="E56" s="77"/>
      <c r="F56" s="490"/>
      <c r="G56" s="411"/>
      <c r="H56" s="411"/>
      <c r="I56" s="411"/>
      <c r="J56" s="411"/>
      <c r="K56" s="411"/>
    </row>
    <row r="57">
      <c r="A57" s="463">
        <v>44808.0</v>
      </c>
      <c r="B57" s="455"/>
      <c r="C57" s="456"/>
      <c r="D57" s="492"/>
      <c r="E57" s="468">
        <v>500.0</v>
      </c>
      <c r="F57" s="490"/>
      <c r="G57" s="411"/>
      <c r="H57" s="411"/>
      <c r="I57" s="411"/>
      <c r="J57" s="411"/>
      <c r="K57" s="411"/>
    </row>
    <row r="58">
      <c r="A58" s="463">
        <v>44809.0</v>
      </c>
      <c r="B58" s="455">
        <v>12500.0</v>
      </c>
      <c r="C58" s="456">
        <f t="shared" ref="C58:C81" si="7">B58*0.1</f>
        <v>1250</v>
      </c>
      <c r="D58" s="77"/>
      <c r="E58" s="77"/>
      <c r="F58" s="490"/>
      <c r="G58" s="411"/>
      <c r="H58" s="411"/>
      <c r="I58" s="411"/>
      <c r="J58" s="411"/>
      <c r="K58" s="411"/>
    </row>
    <row r="59">
      <c r="A59" s="463">
        <v>44814.0</v>
      </c>
      <c r="B59" s="455">
        <v>8389.64</v>
      </c>
      <c r="C59" s="456">
        <f t="shared" si="7"/>
        <v>838.964</v>
      </c>
      <c r="D59" s="77"/>
      <c r="E59" s="77"/>
      <c r="F59" s="490"/>
      <c r="G59" s="411"/>
      <c r="H59" s="411"/>
      <c r="I59" s="411"/>
      <c r="J59" s="411"/>
      <c r="K59" s="411"/>
    </row>
    <row r="60">
      <c r="A60" s="463">
        <v>44821.0</v>
      </c>
      <c r="B60" s="455">
        <v>8466.42</v>
      </c>
      <c r="C60" s="456">
        <f t="shared" si="7"/>
        <v>846.642</v>
      </c>
      <c r="D60" s="77"/>
      <c r="E60" s="77"/>
      <c r="F60" s="490"/>
      <c r="G60" s="411"/>
      <c r="H60" s="411"/>
      <c r="I60" s="411"/>
      <c r="J60" s="411"/>
      <c r="K60" s="411"/>
    </row>
    <row r="61">
      <c r="A61" s="463">
        <v>44824.0</v>
      </c>
      <c r="B61" s="455">
        <v>12500.0</v>
      </c>
      <c r="C61" s="456">
        <f t="shared" si="7"/>
        <v>1250</v>
      </c>
      <c r="D61" s="77"/>
      <c r="E61" s="77"/>
      <c r="F61" s="490"/>
      <c r="G61" s="411"/>
      <c r="H61" s="411"/>
      <c r="I61" s="411"/>
      <c r="J61" s="411"/>
      <c r="K61" s="411"/>
    </row>
    <row r="62">
      <c r="A62" s="463">
        <v>44829.0</v>
      </c>
      <c r="B62" s="455">
        <v>8673.85</v>
      </c>
      <c r="C62" s="456">
        <f t="shared" si="7"/>
        <v>867.385</v>
      </c>
      <c r="D62" s="77"/>
      <c r="E62" s="77"/>
      <c r="F62" s="490"/>
      <c r="G62" s="411"/>
      <c r="H62" s="411"/>
      <c r="I62" s="411"/>
      <c r="J62" s="411"/>
      <c r="K62" s="411"/>
    </row>
    <row r="63">
      <c r="A63" s="463">
        <v>44836.0</v>
      </c>
      <c r="B63" s="455">
        <v>8675.33</v>
      </c>
      <c r="C63" s="456">
        <f t="shared" si="7"/>
        <v>867.533</v>
      </c>
      <c r="D63" s="77"/>
      <c r="E63" s="77"/>
      <c r="F63" s="490"/>
      <c r="G63" s="411"/>
      <c r="H63" s="411"/>
      <c r="I63" s="411"/>
      <c r="J63" s="411"/>
      <c r="K63" s="411"/>
    </row>
    <row r="64">
      <c r="A64" s="463">
        <v>44839.0</v>
      </c>
      <c r="B64" s="455">
        <v>12500.0</v>
      </c>
      <c r="C64" s="456">
        <f t="shared" si="7"/>
        <v>1250</v>
      </c>
      <c r="D64" s="77"/>
      <c r="E64" s="77"/>
      <c r="F64" s="490"/>
      <c r="G64" s="411"/>
      <c r="H64" s="411"/>
      <c r="I64" s="411"/>
      <c r="J64" s="411"/>
      <c r="K64" s="411"/>
    </row>
    <row r="65">
      <c r="A65" s="463">
        <v>44843.0</v>
      </c>
      <c r="B65" s="455">
        <v>8718.14</v>
      </c>
      <c r="C65" s="456">
        <f t="shared" si="7"/>
        <v>871.814</v>
      </c>
      <c r="D65" s="77"/>
      <c r="E65" s="77"/>
      <c r="F65" s="490"/>
      <c r="G65" s="411"/>
      <c r="H65" s="411"/>
      <c r="I65" s="411"/>
      <c r="J65" s="411"/>
      <c r="K65" s="411"/>
    </row>
    <row r="66">
      <c r="A66" s="463">
        <v>44849.0</v>
      </c>
      <c r="B66" s="455">
        <v>8710.76</v>
      </c>
      <c r="C66" s="456">
        <f t="shared" si="7"/>
        <v>871.076</v>
      </c>
      <c r="D66" s="77"/>
      <c r="E66" s="77"/>
      <c r="F66" s="490"/>
      <c r="G66" s="411"/>
      <c r="H66" s="411"/>
      <c r="I66" s="411"/>
      <c r="J66" s="411"/>
      <c r="K66" s="411"/>
    </row>
    <row r="67">
      <c r="A67" s="463">
        <v>44854.0</v>
      </c>
      <c r="B67" s="455">
        <v>12500.0</v>
      </c>
      <c r="C67" s="456">
        <f t="shared" si="7"/>
        <v>1250</v>
      </c>
      <c r="D67" s="77"/>
      <c r="E67" s="77"/>
      <c r="F67" s="490"/>
      <c r="G67" s="411"/>
      <c r="H67" s="411"/>
      <c r="I67" s="411"/>
      <c r="J67" s="411"/>
      <c r="K67" s="411"/>
    </row>
    <row r="68">
      <c r="A68" s="463">
        <v>44858.0</v>
      </c>
      <c r="B68" s="455">
        <v>8696.44</v>
      </c>
      <c r="C68" s="456">
        <f t="shared" si="7"/>
        <v>869.644</v>
      </c>
      <c r="D68" s="77"/>
      <c r="E68" s="77"/>
      <c r="F68" s="490"/>
      <c r="G68" s="411"/>
      <c r="H68" s="411"/>
      <c r="I68" s="411"/>
      <c r="J68" s="411"/>
      <c r="K68" s="411"/>
    </row>
    <row r="69">
      <c r="A69" s="463">
        <v>44865.0</v>
      </c>
      <c r="B69" s="455">
        <v>8564.6</v>
      </c>
      <c r="C69" s="456">
        <f t="shared" si="7"/>
        <v>856.46</v>
      </c>
      <c r="D69" s="77"/>
      <c r="E69" s="77"/>
      <c r="F69" s="490"/>
      <c r="G69" s="411"/>
      <c r="H69" s="411"/>
      <c r="I69" s="411"/>
      <c r="J69" s="411"/>
      <c r="K69" s="411"/>
    </row>
    <row r="70">
      <c r="A70" s="463">
        <v>44870.0</v>
      </c>
      <c r="B70" s="455">
        <v>12500.0</v>
      </c>
      <c r="C70" s="456">
        <f t="shared" si="7"/>
        <v>1250</v>
      </c>
      <c r="D70" s="77"/>
      <c r="E70" s="77"/>
      <c r="F70" s="490"/>
      <c r="G70" s="411"/>
      <c r="H70" s="411"/>
      <c r="I70" s="411"/>
      <c r="J70" s="411"/>
      <c r="K70" s="411"/>
    </row>
    <row r="71">
      <c r="A71" s="463">
        <v>44872.0</v>
      </c>
      <c r="B71" s="455">
        <v>8622.32</v>
      </c>
      <c r="C71" s="456">
        <f t="shared" si="7"/>
        <v>862.232</v>
      </c>
      <c r="D71" s="77"/>
      <c r="E71" s="77"/>
      <c r="F71" s="490"/>
      <c r="G71" s="411"/>
      <c r="H71" s="411"/>
      <c r="I71" s="411"/>
      <c r="J71" s="411"/>
      <c r="K71" s="411"/>
    </row>
    <row r="72">
      <c r="A72" s="463">
        <v>44877.0</v>
      </c>
      <c r="B72" s="455">
        <v>8446.48</v>
      </c>
      <c r="C72" s="456">
        <f t="shared" si="7"/>
        <v>844.648</v>
      </c>
      <c r="D72" s="77"/>
      <c r="E72" s="77"/>
      <c r="F72" s="490"/>
      <c r="G72" s="411"/>
      <c r="H72" s="411"/>
      <c r="I72" s="411"/>
      <c r="J72" s="411"/>
      <c r="K72" s="411"/>
    </row>
    <row r="73">
      <c r="A73" s="463">
        <v>44883.0</v>
      </c>
      <c r="B73" s="455">
        <v>8455.34</v>
      </c>
      <c r="C73" s="456">
        <f t="shared" si="7"/>
        <v>845.534</v>
      </c>
      <c r="D73" s="77"/>
      <c r="E73" s="77"/>
      <c r="F73" s="490"/>
      <c r="G73" s="411"/>
      <c r="H73" s="411"/>
      <c r="I73" s="411"/>
      <c r="J73" s="411"/>
      <c r="K73" s="411"/>
    </row>
    <row r="74">
      <c r="A74" s="463">
        <v>44886.0</v>
      </c>
      <c r="B74" s="455">
        <v>18000.0</v>
      </c>
      <c r="C74" s="456">
        <f t="shared" si="7"/>
        <v>1800</v>
      </c>
      <c r="D74" s="77"/>
      <c r="E74" s="77"/>
      <c r="F74" s="490"/>
      <c r="G74" s="411"/>
      <c r="H74" s="411"/>
      <c r="I74" s="411"/>
      <c r="J74" s="411"/>
      <c r="K74" s="411"/>
    </row>
    <row r="75">
      <c r="A75" s="463">
        <v>44891.0</v>
      </c>
      <c r="B75" s="455">
        <v>8371.19</v>
      </c>
      <c r="C75" s="456">
        <f t="shared" si="7"/>
        <v>837.119</v>
      </c>
      <c r="D75" s="77"/>
      <c r="E75" s="77"/>
      <c r="F75" s="490"/>
      <c r="G75" s="411"/>
      <c r="H75" s="411"/>
      <c r="I75" s="411"/>
      <c r="J75" s="411"/>
      <c r="K75" s="411"/>
    </row>
    <row r="76">
      <c r="A76" s="463">
        <v>44898.0</v>
      </c>
      <c r="B76" s="455">
        <v>8230.96</v>
      </c>
      <c r="C76" s="456">
        <f t="shared" si="7"/>
        <v>823.096</v>
      </c>
      <c r="D76" s="77"/>
      <c r="E76" s="77"/>
      <c r="F76" s="490"/>
      <c r="G76" s="411"/>
      <c r="H76" s="411"/>
      <c r="I76" s="411"/>
      <c r="J76" s="411"/>
      <c r="K76" s="411"/>
    </row>
    <row r="77">
      <c r="A77" s="463">
        <v>44905.0</v>
      </c>
      <c r="B77" s="455">
        <v>8173.59</v>
      </c>
      <c r="C77" s="456">
        <f t="shared" si="7"/>
        <v>817.359</v>
      </c>
      <c r="D77" s="77"/>
      <c r="E77" s="77"/>
      <c r="F77" s="490"/>
      <c r="G77" s="411"/>
      <c r="H77" s="411"/>
      <c r="I77" s="411"/>
      <c r="J77" s="411"/>
      <c r="K77" s="411"/>
    </row>
    <row r="78">
      <c r="A78" s="463">
        <v>44913.0</v>
      </c>
      <c r="B78" s="455">
        <v>8194.77</v>
      </c>
      <c r="C78" s="456">
        <f t="shared" si="7"/>
        <v>819.477</v>
      </c>
      <c r="D78" s="77"/>
      <c r="E78" s="77"/>
      <c r="F78" s="490"/>
      <c r="G78" s="411"/>
      <c r="H78" s="411"/>
      <c r="I78" s="411"/>
      <c r="J78" s="411"/>
      <c r="K78" s="411"/>
    </row>
    <row r="79">
      <c r="A79" s="463">
        <v>44915.0</v>
      </c>
      <c r="B79" s="455">
        <v>18000.0</v>
      </c>
      <c r="C79" s="456">
        <f t="shared" si="7"/>
        <v>1800</v>
      </c>
      <c r="D79" s="77"/>
      <c r="E79" s="77"/>
      <c r="F79" s="490"/>
      <c r="G79" s="411"/>
      <c r="H79" s="411"/>
      <c r="I79" s="411"/>
      <c r="J79" s="411"/>
      <c r="K79" s="411"/>
    </row>
    <row r="80">
      <c r="A80" s="463">
        <v>44919.0</v>
      </c>
      <c r="B80" s="455">
        <v>8152.77</v>
      </c>
      <c r="C80" s="456">
        <f t="shared" si="7"/>
        <v>815.277</v>
      </c>
      <c r="D80" s="77"/>
      <c r="E80" s="77"/>
      <c r="F80" s="490"/>
      <c r="G80" s="411"/>
      <c r="H80" s="411"/>
      <c r="I80" s="411"/>
      <c r="J80" s="411"/>
      <c r="K80" s="411"/>
    </row>
    <row r="81">
      <c r="A81" s="463">
        <v>44926.0</v>
      </c>
      <c r="B81" s="455">
        <v>8224.35</v>
      </c>
      <c r="C81" s="456">
        <f t="shared" si="7"/>
        <v>822.435</v>
      </c>
      <c r="D81" s="77"/>
      <c r="E81" s="77"/>
      <c r="F81" s="490"/>
      <c r="G81" s="411"/>
      <c r="H81" s="411"/>
      <c r="I81" s="411"/>
      <c r="J81" s="411"/>
      <c r="K81" s="411"/>
    </row>
    <row r="82">
      <c r="A82" s="411"/>
      <c r="B82" s="411"/>
      <c r="C82" s="411"/>
      <c r="D82" s="411"/>
      <c r="E82" s="411"/>
      <c r="F82" s="490"/>
      <c r="G82" s="411"/>
      <c r="H82" s="411"/>
      <c r="I82" s="411"/>
      <c r="J82" s="411"/>
      <c r="K82" s="411"/>
    </row>
    <row r="84">
      <c r="A84" s="74" t="s">
        <v>165</v>
      </c>
      <c r="B84" s="71"/>
      <c r="C84" s="72" t="s">
        <v>41</v>
      </c>
      <c r="D84" s="73" t="s">
        <v>161</v>
      </c>
      <c r="E84" s="73" t="s">
        <v>162</v>
      </c>
      <c r="G84" s="74" t="s">
        <v>166</v>
      </c>
      <c r="H84" s="71"/>
      <c r="I84" s="72" t="s">
        <v>44</v>
      </c>
      <c r="J84" s="73" t="s">
        <v>161</v>
      </c>
      <c r="K84" s="73" t="s">
        <v>162</v>
      </c>
    </row>
    <row r="85">
      <c r="A85" s="76" t="s">
        <v>45</v>
      </c>
      <c r="B85" s="76" t="s">
        <v>46</v>
      </c>
      <c r="C85" s="494">
        <f>Sum(B86:B120)</f>
        <v>578045.45</v>
      </c>
      <c r="D85" s="466">
        <f>SUM(C86:C128)</f>
        <v>66554.545</v>
      </c>
      <c r="E85" s="495">
        <v>71303.64</v>
      </c>
      <c r="F85" s="452"/>
      <c r="G85" s="76" t="s">
        <v>45</v>
      </c>
      <c r="H85" s="76" t="s">
        <v>46</v>
      </c>
      <c r="I85" s="496">
        <f t="shared" ref="I85:J85" si="8">SUM(H86:H120)</f>
        <v>628764</v>
      </c>
      <c r="J85" s="466">
        <f t="shared" si="8"/>
        <v>62876.4</v>
      </c>
      <c r="K85" s="497">
        <v>63141.89</v>
      </c>
    </row>
    <row r="86">
      <c r="A86" s="454">
        <v>44217.0</v>
      </c>
      <c r="B86" s="498">
        <v>22929.6</v>
      </c>
      <c r="C86" s="499">
        <f t="shared" ref="C86:C127" si="9">B86*0.1</f>
        <v>2292.96</v>
      </c>
      <c r="D86" s="500"/>
      <c r="E86" s="501"/>
      <c r="F86" s="458"/>
      <c r="G86" s="459">
        <v>44202.0</v>
      </c>
      <c r="H86" s="502">
        <v>20826.87</v>
      </c>
      <c r="I86" s="499">
        <f t="shared" ref="I86:I116" si="10">H86*0.1</f>
        <v>2082.687</v>
      </c>
      <c r="J86" s="503"/>
      <c r="K86" s="462"/>
    </row>
    <row r="87">
      <c r="A87" s="463">
        <v>44222.0</v>
      </c>
      <c r="B87" s="498">
        <v>15663.13</v>
      </c>
      <c r="C87" s="499">
        <f t="shared" si="9"/>
        <v>1566.313</v>
      </c>
      <c r="D87" s="503"/>
      <c r="E87" s="503"/>
      <c r="F87" s="458"/>
      <c r="G87" s="470">
        <v>44217.0</v>
      </c>
      <c r="H87" s="498">
        <v>22929.6</v>
      </c>
      <c r="I87" s="499">
        <f t="shared" si="10"/>
        <v>2292.96</v>
      </c>
      <c r="J87" s="503"/>
      <c r="K87" s="462"/>
    </row>
    <row r="88">
      <c r="A88" s="463">
        <v>44235.0</v>
      </c>
      <c r="B88" s="498">
        <v>15663.13</v>
      </c>
      <c r="C88" s="499">
        <f t="shared" si="9"/>
        <v>1566.313</v>
      </c>
      <c r="D88" s="503"/>
      <c r="E88" s="503"/>
      <c r="F88" s="464"/>
      <c r="G88" s="459">
        <v>44216.0</v>
      </c>
      <c r="H88" s="502">
        <v>21726.0</v>
      </c>
      <c r="I88" s="499">
        <f t="shared" si="10"/>
        <v>2172.6</v>
      </c>
      <c r="J88" s="503"/>
      <c r="K88" s="462"/>
    </row>
    <row r="89">
      <c r="A89" s="463">
        <v>44249.0</v>
      </c>
      <c r="B89" s="498">
        <v>15865.15</v>
      </c>
      <c r="C89" s="499">
        <f t="shared" si="9"/>
        <v>1586.515</v>
      </c>
      <c r="D89" s="466"/>
      <c r="E89" s="466"/>
      <c r="F89" s="464"/>
      <c r="G89" s="459">
        <v>44235.0</v>
      </c>
      <c r="H89" s="498">
        <v>14946.66</v>
      </c>
      <c r="I89" s="499">
        <f t="shared" si="10"/>
        <v>1494.666</v>
      </c>
      <c r="J89" s="466"/>
      <c r="K89" s="466"/>
    </row>
    <row r="90">
      <c r="A90" s="463">
        <v>44264.0</v>
      </c>
      <c r="B90" s="498">
        <v>15871.67</v>
      </c>
      <c r="C90" s="499">
        <f t="shared" si="9"/>
        <v>1587.167</v>
      </c>
      <c r="D90" s="466"/>
      <c r="E90" s="466"/>
      <c r="F90" s="464"/>
      <c r="G90" s="459">
        <v>44247.0</v>
      </c>
      <c r="H90" s="498">
        <v>16825.53</v>
      </c>
      <c r="I90" s="499">
        <f t="shared" si="10"/>
        <v>1682.553</v>
      </c>
      <c r="J90" s="462"/>
      <c r="K90" s="462"/>
    </row>
    <row r="91">
      <c r="A91" s="504">
        <v>44264.0</v>
      </c>
      <c r="B91" s="498">
        <v>23195.0</v>
      </c>
      <c r="C91" s="499">
        <f t="shared" si="9"/>
        <v>2319.5</v>
      </c>
      <c r="D91" s="466"/>
      <c r="E91" s="466"/>
      <c r="F91" s="464"/>
      <c r="G91" s="459">
        <v>44265.0</v>
      </c>
      <c r="H91" s="498">
        <v>12467.2</v>
      </c>
      <c r="I91" s="499">
        <f t="shared" si="10"/>
        <v>1246.72</v>
      </c>
      <c r="J91" s="466"/>
      <c r="K91" s="466"/>
    </row>
    <row r="92">
      <c r="A92" s="471">
        <v>44275.0</v>
      </c>
      <c r="B92" s="498">
        <v>12500.0</v>
      </c>
      <c r="C92" s="499">
        <f t="shared" si="9"/>
        <v>1250</v>
      </c>
      <c r="D92" s="466"/>
      <c r="E92" s="466"/>
      <c r="F92" s="464"/>
      <c r="G92" s="470">
        <v>44264.0</v>
      </c>
      <c r="H92" s="498">
        <v>23195.0</v>
      </c>
      <c r="I92" s="499">
        <f t="shared" si="10"/>
        <v>2319.5</v>
      </c>
      <c r="J92" s="462"/>
      <c r="K92" s="462"/>
    </row>
    <row r="93">
      <c r="A93" s="463">
        <v>44278.0</v>
      </c>
      <c r="B93" s="498">
        <v>15816.27</v>
      </c>
      <c r="C93" s="499">
        <f t="shared" si="9"/>
        <v>1581.627</v>
      </c>
      <c r="D93" s="466"/>
      <c r="E93" s="466"/>
      <c r="F93" s="464"/>
      <c r="G93" s="470">
        <v>44280.0</v>
      </c>
      <c r="H93" s="498">
        <v>18019.0</v>
      </c>
      <c r="I93" s="499">
        <f t="shared" si="10"/>
        <v>1801.9</v>
      </c>
      <c r="J93" s="466"/>
      <c r="K93" s="466"/>
    </row>
    <row r="94">
      <c r="A94" s="471">
        <v>44291.0</v>
      </c>
      <c r="B94" s="498">
        <v>12500.0</v>
      </c>
      <c r="C94" s="499">
        <f t="shared" si="9"/>
        <v>1250</v>
      </c>
      <c r="D94" s="466"/>
      <c r="E94" s="466"/>
      <c r="F94" s="464"/>
      <c r="G94" s="470">
        <v>44293.0</v>
      </c>
      <c r="H94" s="498">
        <v>20753.28</v>
      </c>
      <c r="I94" s="499">
        <f t="shared" si="10"/>
        <v>2075.328</v>
      </c>
      <c r="J94" s="466"/>
      <c r="K94" s="498">
        <v>500.0</v>
      </c>
    </row>
    <row r="95">
      <c r="A95" s="471">
        <v>44292.0</v>
      </c>
      <c r="B95" s="498">
        <v>15842.34</v>
      </c>
      <c r="C95" s="499">
        <f t="shared" si="9"/>
        <v>1584.234</v>
      </c>
      <c r="D95" s="466"/>
      <c r="E95" s="505">
        <v>500.0</v>
      </c>
      <c r="F95" s="464"/>
      <c r="G95" s="470">
        <v>44311.0</v>
      </c>
      <c r="H95" s="498">
        <v>17093.12</v>
      </c>
      <c r="I95" s="499">
        <f t="shared" si="10"/>
        <v>1709.312</v>
      </c>
      <c r="J95" s="466"/>
      <c r="K95" s="466"/>
    </row>
    <row r="96">
      <c r="A96" s="471">
        <v>44306.0</v>
      </c>
      <c r="B96" s="498">
        <v>15760.88</v>
      </c>
      <c r="C96" s="499">
        <f t="shared" si="9"/>
        <v>1576.088</v>
      </c>
      <c r="D96" s="466"/>
      <c r="E96" s="466"/>
      <c r="F96" s="464"/>
      <c r="G96" s="470">
        <v>44323.0</v>
      </c>
      <c r="H96" s="506">
        <v>21376.76</v>
      </c>
      <c r="I96" s="499">
        <f t="shared" si="10"/>
        <v>2137.676</v>
      </c>
      <c r="J96" s="466"/>
      <c r="K96" s="466"/>
    </row>
    <row r="97">
      <c r="A97" s="473">
        <v>44306.0</v>
      </c>
      <c r="B97" s="507">
        <v>12500.0</v>
      </c>
      <c r="C97" s="508">
        <f t="shared" si="9"/>
        <v>1250</v>
      </c>
      <c r="D97" s="509"/>
      <c r="E97" s="509"/>
      <c r="F97" s="464"/>
      <c r="G97" s="470">
        <v>44323.0</v>
      </c>
      <c r="H97" s="510">
        <v>25000.0</v>
      </c>
      <c r="I97" s="499">
        <f t="shared" si="10"/>
        <v>2500</v>
      </c>
      <c r="J97" s="511">
        <v>1248.39</v>
      </c>
      <c r="K97" s="466"/>
    </row>
    <row r="98">
      <c r="A98" s="463">
        <v>44323.0</v>
      </c>
      <c r="B98" s="498">
        <v>15664.76</v>
      </c>
      <c r="C98" s="499">
        <f t="shared" si="9"/>
        <v>1566.476</v>
      </c>
      <c r="D98" s="466"/>
      <c r="E98" s="466"/>
      <c r="F98" s="464"/>
      <c r="G98" s="470">
        <v>44336.0</v>
      </c>
      <c r="H98" s="498">
        <v>17093.12</v>
      </c>
      <c r="I98" s="499">
        <f t="shared" si="10"/>
        <v>1709.312</v>
      </c>
      <c r="J98" s="466"/>
      <c r="K98" s="466"/>
    </row>
    <row r="99">
      <c r="A99" s="473">
        <v>44323.0</v>
      </c>
      <c r="B99" s="507">
        <v>12500.0</v>
      </c>
      <c r="C99" s="508">
        <f t="shared" si="9"/>
        <v>1250</v>
      </c>
      <c r="D99" s="466"/>
      <c r="E99" s="466"/>
      <c r="F99" s="464"/>
      <c r="G99" s="470">
        <v>44350.0</v>
      </c>
      <c r="H99" s="498">
        <v>20026.24</v>
      </c>
      <c r="I99" s="499">
        <f t="shared" si="10"/>
        <v>2002.624</v>
      </c>
      <c r="J99" s="466"/>
      <c r="K99" s="466"/>
    </row>
    <row r="100">
      <c r="A100" s="473">
        <v>44323.0</v>
      </c>
      <c r="B100" s="507">
        <v>12500.0</v>
      </c>
      <c r="C100" s="508">
        <f t="shared" si="9"/>
        <v>1250</v>
      </c>
      <c r="D100" s="466"/>
      <c r="E100" s="466"/>
      <c r="F100" s="464"/>
      <c r="G100" s="470">
        <v>44364.0</v>
      </c>
      <c r="H100" s="498">
        <v>18510.16</v>
      </c>
      <c r="I100" s="499">
        <f t="shared" si="10"/>
        <v>1851.016</v>
      </c>
      <c r="J100" s="466"/>
      <c r="K100" s="466"/>
    </row>
    <row r="101">
      <c r="A101" s="463">
        <v>44334.0</v>
      </c>
      <c r="B101" s="498">
        <v>15610.99</v>
      </c>
      <c r="C101" s="499">
        <f t="shared" si="9"/>
        <v>1561.099</v>
      </c>
      <c r="D101" s="466"/>
      <c r="E101" s="466"/>
      <c r="F101" s="464"/>
      <c r="G101" s="470">
        <v>44370.0</v>
      </c>
      <c r="H101" s="498">
        <v>25000.0</v>
      </c>
      <c r="I101" s="499">
        <f t="shared" si="10"/>
        <v>2500</v>
      </c>
      <c r="J101" s="466"/>
      <c r="K101" s="466"/>
    </row>
    <row r="102">
      <c r="A102" s="512">
        <v>44336.0</v>
      </c>
      <c r="B102" s="507">
        <v>12500.0</v>
      </c>
      <c r="C102" s="508">
        <f t="shared" si="9"/>
        <v>1250</v>
      </c>
      <c r="D102" s="509"/>
      <c r="E102" s="509"/>
      <c r="F102" s="464"/>
      <c r="G102" s="470">
        <v>44386.0</v>
      </c>
      <c r="H102" s="498">
        <v>18450.88</v>
      </c>
      <c r="I102" s="499">
        <f t="shared" si="10"/>
        <v>1845.088</v>
      </c>
      <c r="J102" s="466"/>
      <c r="K102" s="466"/>
    </row>
    <row r="103">
      <c r="A103" s="463">
        <v>44348.0</v>
      </c>
      <c r="B103" s="498">
        <v>15538.64</v>
      </c>
      <c r="C103" s="499">
        <f t="shared" si="9"/>
        <v>1553.864</v>
      </c>
      <c r="D103" s="466"/>
      <c r="E103" s="466"/>
      <c r="F103" s="464"/>
      <c r="G103" s="470">
        <v>44400.0</v>
      </c>
      <c r="H103" s="498">
        <v>19042.24</v>
      </c>
      <c r="I103" s="499">
        <f t="shared" si="10"/>
        <v>1904.224</v>
      </c>
      <c r="J103" s="466"/>
      <c r="K103" s="466"/>
    </row>
    <row r="104">
      <c r="A104" s="463">
        <v>44352.0</v>
      </c>
      <c r="B104" s="507">
        <v>12500.0</v>
      </c>
      <c r="C104" s="508">
        <f t="shared" si="9"/>
        <v>1250</v>
      </c>
      <c r="D104" s="466"/>
      <c r="E104" s="466"/>
      <c r="F104" s="464"/>
      <c r="G104" s="470">
        <v>44414.0</v>
      </c>
      <c r="H104" s="498">
        <v>49182.18</v>
      </c>
      <c r="I104" s="499">
        <f t="shared" si="10"/>
        <v>4918.218</v>
      </c>
      <c r="J104" s="466"/>
      <c r="K104" s="466"/>
    </row>
    <row r="105">
      <c r="A105" s="463">
        <v>44362.0</v>
      </c>
      <c r="B105" s="498">
        <v>15621.15</v>
      </c>
      <c r="C105" s="508">
        <f t="shared" si="9"/>
        <v>1562.115</v>
      </c>
      <c r="D105" s="466"/>
      <c r="E105" s="466"/>
      <c r="F105" s="464"/>
      <c r="G105" s="480">
        <v>44429.0</v>
      </c>
      <c r="H105" s="507">
        <v>16124.8</v>
      </c>
      <c r="I105" s="508">
        <f t="shared" si="10"/>
        <v>1612.48</v>
      </c>
      <c r="J105" s="466"/>
      <c r="K105" s="466"/>
    </row>
    <row r="106">
      <c r="A106" s="463">
        <v>44370.0</v>
      </c>
      <c r="B106" s="498">
        <v>25000.0</v>
      </c>
      <c r="C106" s="508">
        <f t="shared" si="9"/>
        <v>2500</v>
      </c>
      <c r="D106" s="466"/>
      <c r="E106" s="466"/>
      <c r="F106" s="464"/>
      <c r="G106" s="470">
        <v>44447.0</v>
      </c>
      <c r="H106" s="513">
        <v>20629.12</v>
      </c>
      <c r="I106" s="499">
        <f t="shared" si="10"/>
        <v>2062.912</v>
      </c>
      <c r="J106" s="486"/>
      <c r="K106" s="466"/>
    </row>
    <row r="107">
      <c r="A107" s="463">
        <v>44376.0</v>
      </c>
      <c r="B107" s="498">
        <v>15870.26</v>
      </c>
      <c r="C107" s="508">
        <f t="shared" si="9"/>
        <v>1587.026</v>
      </c>
      <c r="D107" s="466"/>
      <c r="E107" s="466"/>
      <c r="F107" s="483"/>
      <c r="G107" s="470">
        <v>44462.0</v>
      </c>
      <c r="H107" s="513">
        <v>17658.64</v>
      </c>
      <c r="I107" s="499">
        <f t="shared" si="10"/>
        <v>1765.864</v>
      </c>
      <c r="J107" s="486"/>
      <c r="K107" s="466"/>
    </row>
    <row r="108">
      <c r="A108" s="463">
        <v>44382.0</v>
      </c>
      <c r="B108" s="498">
        <v>12500.0</v>
      </c>
      <c r="C108" s="499">
        <f t="shared" si="9"/>
        <v>1250</v>
      </c>
      <c r="D108" s="466"/>
      <c r="E108" s="466"/>
      <c r="F108" s="483"/>
      <c r="G108" s="470">
        <v>44469.0</v>
      </c>
      <c r="H108" s="498">
        <v>25000.0</v>
      </c>
      <c r="I108" s="499">
        <f t="shared" si="10"/>
        <v>2500</v>
      </c>
      <c r="J108" s="466"/>
      <c r="K108" s="466"/>
    </row>
    <row r="109">
      <c r="A109" s="463">
        <v>44389.0</v>
      </c>
      <c r="B109" s="498">
        <v>16415.15</v>
      </c>
      <c r="C109" s="499">
        <f t="shared" si="9"/>
        <v>1641.515</v>
      </c>
      <c r="D109" s="466"/>
      <c r="E109" s="466"/>
      <c r="F109" s="483"/>
      <c r="G109" s="470">
        <v>44476.0</v>
      </c>
      <c r="H109" s="498">
        <v>19484.92</v>
      </c>
      <c r="I109" s="499">
        <f t="shared" si="10"/>
        <v>1948.492</v>
      </c>
      <c r="J109" s="466"/>
      <c r="K109" s="466"/>
    </row>
    <row r="110">
      <c r="A110" s="463">
        <v>44397.0</v>
      </c>
      <c r="B110" s="498">
        <v>12500.0</v>
      </c>
      <c r="C110" s="499">
        <f t="shared" si="9"/>
        <v>1250</v>
      </c>
      <c r="D110" s="466"/>
      <c r="E110" s="466"/>
      <c r="F110" s="464"/>
      <c r="G110" s="470">
        <v>44491.0</v>
      </c>
      <c r="H110" s="498">
        <v>17974.59</v>
      </c>
      <c r="I110" s="499">
        <f t="shared" si="10"/>
        <v>1797.459</v>
      </c>
      <c r="J110" s="466"/>
      <c r="K110" s="466"/>
    </row>
    <row r="111">
      <c r="A111" s="463">
        <v>44404.0</v>
      </c>
      <c r="B111" s="498">
        <v>16424.94</v>
      </c>
      <c r="C111" s="499">
        <f t="shared" si="9"/>
        <v>1642.494</v>
      </c>
      <c r="D111" s="466"/>
      <c r="E111" s="466"/>
      <c r="F111" s="488"/>
      <c r="G111" s="470">
        <v>44508.0</v>
      </c>
      <c r="H111" s="498">
        <v>20934.57</v>
      </c>
      <c r="I111" s="499">
        <f t="shared" si="10"/>
        <v>2093.457</v>
      </c>
      <c r="J111" s="83"/>
      <c r="K111" s="505">
        <v>500.0</v>
      </c>
    </row>
    <row r="112">
      <c r="A112" s="463">
        <v>44413.0</v>
      </c>
      <c r="B112" s="498">
        <v>12500.0</v>
      </c>
      <c r="C112" s="499">
        <f t="shared" si="9"/>
        <v>1250</v>
      </c>
      <c r="D112" s="83"/>
      <c r="E112" s="83"/>
      <c r="G112" s="470">
        <v>44516.0</v>
      </c>
      <c r="H112" s="498">
        <v>25000.0</v>
      </c>
      <c r="I112" s="499">
        <f t="shared" si="10"/>
        <v>2500</v>
      </c>
      <c r="J112" s="83"/>
      <c r="K112" s="83"/>
    </row>
    <row r="113">
      <c r="A113" s="463">
        <v>44418.0</v>
      </c>
      <c r="B113" s="491">
        <v>16476.9</v>
      </c>
      <c r="C113" s="499">
        <f t="shared" si="9"/>
        <v>1647.69</v>
      </c>
      <c r="D113" s="83"/>
      <c r="E113" s="83"/>
      <c r="G113" s="470">
        <v>44523.0</v>
      </c>
      <c r="H113" s="491">
        <v>14500.0</v>
      </c>
      <c r="I113" s="499">
        <f t="shared" si="10"/>
        <v>1450</v>
      </c>
      <c r="J113" s="83"/>
      <c r="K113" s="83"/>
    </row>
    <row r="114">
      <c r="A114" s="463">
        <v>44428.0</v>
      </c>
      <c r="B114" s="498">
        <v>12500.0</v>
      </c>
      <c r="C114" s="499">
        <f t="shared" si="9"/>
        <v>1250</v>
      </c>
      <c r="D114" s="83"/>
      <c r="E114" s="83"/>
      <c r="F114" s="490"/>
      <c r="G114" s="470">
        <v>44540.0</v>
      </c>
      <c r="H114" s="498">
        <v>21000.0</v>
      </c>
      <c r="I114" s="499">
        <f t="shared" si="10"/>
        <v>2100</v>
      </c>
      <c r="J114" s="83"/>
      <c r="K114" s="83"/>
    </row>
    <row r="115">
      <c r="A115" s="463">
        <v>44432.0</v>
      </c>
      <c r="B115" s="491">
        <v>16432.13</v>
      </c>
      <c r="C115" s="499">
        <f t="shared" si="9"/>
        <v>1643.213</v>
      </c>
      <c r="D115" s="83"/>
      <c r="E115" s="83"/>
      <c r="F115" s="490"/>
      <c r="G115" s="470">
        <v>44554.0</v>
      </c>
      <c r="H115" s="491">
        <v>20044.0</v>
      </c>
      <c r="I115" s="499">
        <f t="shared" si="10"/>
        <v>2004.4</v>
      </c>
      <c r="J115" s="83"/>
      <c r="K115" s="489"/>
    </row>
    <row r="116">
      <c r="A116" s="463">
        <v>44433.0</v>
      </c>
      <c r="B116" s="491">
        <v>64883.36</v>
      </c>
      <c r="C116" s="499">
        <f t="shared" si="9"/>
        <v>6488.336</v>
      </c>
      <c r="D116" s="83"/>
      <c r="E116" s="83"/>
      <c r="F116" s="490"/>
      <c r="G116" s="470">
        <v>44557.0</v>
      </c>
      <c r="H116" s="491">
        <v>7949.52</v>
      </c>
      <c r="I116" s="499">
        <f t="shared" si="10"/>
        <v>794.952</v>
      </c>
      <c r="J116" s="83"/>
      <c r="K116" s="83"/>
    </row>
    <row r="117">
      <c r="A117" s="463">
        <v>44445.0</v>
      </c>
      <c r="B117" s="498">
        <v>12500.0</v>
      </c>
      <c r="C117" s="499">
        <f t="shared" si="9"/>
        <v>1250</v>
      </c>
      <c r="D117" s="83"/>
      <c r="E117" s="83"/>
      <c r="F117" s="490"/>
      <c r="G117" s="96"/>
      <c r="H117" s="514"/>
      <c r="I117" s="499"/>
      <c r="J117" s="83"/>
      <c r="K117" s="83"/>
    </row>
    <row r="118">
      <c r="A118" s="463">
        <v>44459.0</v>
      </c>
      <c r="B118" s="498">
        <v>12500.0</v>
      </c>
      <c r="C118" s="499">
        <f t="shared" si="9"/>
        <v>1250</v>
      </c>
      <c r="D118" s="83"/>
      <c r="E118" s="83"/>
      <c r="F118" s="490"/>
      <c r="G118" s="96"/>
      <c r="H118" s="514"/>
      <c r="I118" s="515"/>
      <c r="J118" s="83"/>
      <c r="K118" s="83"/>
    </row>
    <row r="119">
      <c r="A119" s="463">
        <v>44469.0</v>
      </c>
      <c r="B119" s="498">
        <v>12500.0</v>
      </c>
      <c r="C119" s="499">
        <f t="shared" si="9"/>
        <v>1250</v>
      </c>
      <c r="D119" s="83"/>
      <c r="E119" s="83"/>
      <c r="F119" s="490"/>
      <c r="G119" s="96"/>
      <c r="H119" s="514"/>
      <c r="I119" s="515"/>
      <c r="J119" s="83"/>
      <c r="K119" s="83"/>
    </row>
    <row r="120">
      <c r="A120" s="463">
        <v>44474.0</v>
      </c>
      <c r="B120" s="498">
        <v>12500.0</v>
      </c>
      <c r="C120" s="499">
        <f t="shared" si="9"/>
        <v>1250</v>
      </c>
      <c r="D120" s="83"/>
      <c r="E120" s="83"/>
      <c r="F120" s="490"/>
      <c r="G120" s="96"/>
      <c r="H120" s="514"/>
      <c r="I120" s="515"/>
      <c r="J120" s="83"/>
      <c r="K120" s="83"/>
    </row>
    <row r="121">
      <c r="A121" s="454">
        <v>44489.0</v>
      </c>
      <c r="B121" s="498">
        <v>12500.0</v>
      </c>
      <c r="C121" s="499">
        <f t="shared" si="9"/>
        <v>1250</v>
      </c>
      <c r="D121" s="83"/>
      <c r="E121" s="83"/>
      <c r="F121" s="490"/>
      <c r="G121" s="96"/>
      <c r="H121" s="514"/>
      <c r="I121" s="515"/>
      <c r="J121" s="83"/>
      <c r="K121" s="83"/>
    </row>
    <row r="122">
      <c r="A122" s="454">
        <v>44505.0</v>
      </c>
      <c r="B122" s="498">
        <v>12500.0</v>
      </c>
      <c r="C122" s="499">
        <f t="shared" si="9"/>
        <v>1250</v>
      </c>
      <c r="D122" s="83"/>
      <c r="E122" s="83"/>
      <c r="F122" s="490"/>
      <c r="G122" s="96"/>
      <c r="H122" s="514"/>
      <c r="I122" s="515"/>
      <c r="J122" s="83"/>
      <c r="K122" s="83"/>
    </row>
    <row r="123">
      <c r="A123" s="454">
        <v>44507.0</v>
      </c>
      <c r="B123" s="498">
        <v>12500.0</v>
      </c>
      <c r="C123" s="499">
        <f t="shared" si="9"/>
        <v>1250</v>
      </c>
      <c r="D123" s="83"/>
      <c r="E123" s="505">
        <v>500.0</v>
      </c>
      <c r="F123" s="490"/>
      <c r="G123" s="96"/>
      <c r="H123" s="514"/>
      <c r="I123" s="515"/>
      <c r="J123" s="83"/>
      <c r="K123" s="83"/>
    </row>
    <row r="124">
      <c r="A124" s="470">
        <v>44516.0</v>
      </c>
      <c r="B124" s="498">
        <v>12500.0</v>
      </c>
      <c r="C124" s="499">
        <f t="shared" si="9"/>
        <v>1250</v>
      </c>
      <c r="D124" s="83"/>
      <c r="E124" s="83"/>
      <c r="F124" s="490"/>
      <c r="G124" s="96"/>
      <c r="H124" s="514"/>
      <c r="I124" s="515"/>
      <c r="J124" s="83"/>
      <c r="K124" s="83"/>
    </row>
    <row r="125">
      <c r="A125" s="454">
        <v>44520.0</v>
      </c>
      <c r="B125" s="498">
        <v>12500.0</v>
      </c>
      <c r="C125" s="499">
        <f t="shared" si="9"/>
        <v>1250</v>
      </c>
      <c r="D125" s="83"/>
      <c r="E125" s="83"/>
      <c r="F125" s="490"/>
      <c r="G125" s="96"/>
      <c r="H125" s="514"/>
      <c r="I125" s="515"/>
      <c r="J125" s="83"/>
      <c r="K125" s="83"/>
    </row>
    <row r="126">
      <c r="A126" s="454">
        <v>44536.0</v>
      </c>
      <c r="B126" s="498">
        <v>12500.0</v>
      </c>
      <c r="C126" s="499">
        <f t="shared" si="9"/>
        <v>1250</v>
      </c>
      <c r="D126" s="83"/>
      <c r="E126" s="83"/>
      <c r="F126" s="490"/>
      <c r="G126" s="96"/>
      <c r="H126" s="514"/>
      <c r="I126" s="515"/>
      <c r="J126" s="83"/>
      <c r="K126" s="83"/>
    </row>
    <row r="127">
      <c r="A127" s="454">
        <v>44552.0</v>
      </c>
      <c r="B127" s="498">
        <v>12500.0</v>
      </c>
      <c r="C127" s="499">
        <f t="shared" si="9"/>
        <v>1250</v>
      </c>
      <c r="D127" s="83"/>
      <c r="E127" s="83"/>
      <c r="F127" s="490"/>
      <c r="G127" s="96"/>
      <c r="H127" s="514"/>
      <c r="I127" s="515"/>
      <c r="J127" s="83"/>
      <c r="K127" s="83"/>
    </row>
    <row r="129">
      <c r="A129" s="516" t="s">
        <v>167</v>
      </c>
      <c r="C129" s="517" t="s">
        <v>41</v>
      </c>
      <c r="D129" s="518" t="s">
        <v>161</v>
      </c>
      <c r="E129" s="518" t="s">
        <v>162</v>
      </c>
      <c r="F129" s="518" t="s">
        <v>168</v>
      </c>
      <c r="G129" s="516" t="s">
        <v>169</v>
      </c>
      <c r="I129" s="517" t="s">
        <v>44</v>
      </c>
      <c r="J129" s="518" t="s">
        <v>161</v>
      </c>
      <c r="K129" s="518" t="s">
        <v>162</v>
      </c>
      <c r="L129" s="518" t="s">
        <v>168</v>
      </c>
    </row>
    <row r="130">
      <c r="A130" s="519" t="s">
        <v>45</v>
      </c>
      <c r="B130" s="519" t="s">
        <v>46</v>
      </c>
      <c r="C130" s="520"/>
      <c r="D130" s="521">
        <v>38508.38</v>
      </c>
      <c r="E130" s="521">
        <v>600.0</v>
      </c>
      <c r="F130" s="522">
        <v>400.0</v>
      </c>
      <c r="G130" s="519" t="s">
        <v>45</v>
      </c>
      <c r="H130" s="519" t="s">
        <v>46</v>
      </c>
      <c r="I130" s="520"/>
      <c r="J130" s="521">
        <v>31335.8</v>
      </c>
      <c r="K130" s="521">
        <v>600.0</v>
      </c>
      <c r="L130" s="523"/>
    </row>
    <row r="131">
      <c r="A131" s="524">
        <v>43899.0</v>
      </c>
      <c r="B131" s="525">
        <v>13902.77</v>
      </c>
      <c r="C131" s="526">
        <v>1390.277</v>
      </c>
      <c r="D131" s="527"/>
      <c r="E131" s="528">
        <v>200.0</v>
      </c>
      <c r="F131" s="527"/>
      <c r="G131" s="524">
        <v>43907.0</v>
      </c>
      <c r="H131" s="529">
        <v>19252.45</v>
      </c>
      <c r="I131" s="526">
        <v>1925.245</v>
      </c>
      <c r="J131" s="527"/>
      <c r="K131" s="530">
        <v>200.0</v>
      </c>
      <c r="L131" s="523"/>
    </row>
    <row r="132">
      <c r="A132" s="524">
        <v>43913.0</v>
      </c>
      <c r="B132" s="525">
        <v>14030.85</v>
      </c>
      <c r="C132" s="526">
        <v>1403.085</v>
      </c>
      <c r="D132" s="527"/>
      <c r="E132" s="528">
        <v>200.0</v>
      </c>
      <c r="F132" s="527"/>
      <c r="G132" s="524">
        <v>43926.0</v>
      </c>
      <c r="H132" s="529">
        <v>22633.18</v>
      </c>
      <c r="I132" s="526">
        <v>2263.318</v>
      </c>
      <c r="J132" s="527"/>
      <c r="K132" s="530">
        <v>200.0</v>
      </c>
      <c r="L132" s="523"/>
    </row>
    <row r="133">
      <c r="A133" s="524">
        <v>43927.0</v>
      </c>
      <c r="B133" s="525">
        <v>13858.2</v>
      </c>
      <c r="C133" s="526">
        <v>1385.82</v>
      </c>
      <c r="D133" s="527"/>
      <c r="E133" s="528">
        <v>200.0</v>
      </c>
      <c r="F133" s="527"/>
      <c r="G133" s="524">
        <v>43941.0</v>
      </c>
      <c r="H133" s="529">
        <v>24821.76</v>
      </c>
      <c r="I133" s="526">
        <v>2482.176</v>
      </c>
      <c r="J133" s="527"/>
      <c r="K133" s="531">
        <v>500.0</v>
      </c>
      <c r="L133" s="523"/>
    </row>
    <row r="134">
      <c r="A134" s="524">
        <v>43941.0</v>
      </c>
      <c r="B134" s="525">
        <v>16321.2</v>
      </c>
      <c r="C134" s="526">
        <v>1632.12</v>
      </c>
      <c r="D134" s="527"/>
      <c r="E134" s="532">
        <v>500.0</v>
      </c>
      <c r="F134" s="527"/>
      <c r="G134" s="524">
        <v>43956.0</v>
      </c>
      <c r="H134" s="529">
        <v>10280.0</v>
      </c>
      <c r="I134" s="526">
        <v>1028.0</v>
      </c>
      <c r="J134" s="527"/>
      <c r="K134" s="533"/>
      <c r="L134" s="523"/>
    </row>
    <row r="135">
      <c r="A135" s="524">
        <v>43956.0</v>
      </c>
      <c r="B135" s="525">
        <v>16116.31</v>
      </c>
      <c r="C135" s="526">
        <v>1611.631</v>
      </c>
      <c r="D135" s="527"/>
      <c r="E135" s="534"/>
      <c r="F135" s="527"/>
      <c r="G135" s="524">
        <v>43971.0</v>
      </c>
      <c r="H135" s="535">
        <v>10270.0</v>
      </c>
      <c r="I135" s="526">
        <v>1027.0</v>
      </c>
      <c r="J135" s="527"/>
      <c r="K135" s="536"/>
      <c r="L135" s="523"/>
    </row>
    <row r="136">
      <c r="A136" s="524">
        <v>43969.0</v>
      </c>
      <c r="B136" s="529">
        <v>30165.94</v>
      </c>
      <c r="C136" s="526">
        <v>3016.594</v>
      </c>
      <c r="D136" s="527"/>
      <c r="E136" s="527"/>
      <c r="F136" s="527"/>
      <c r="G136" s="524">
        <v>43987.0</v>
      </c>
      <c r="H136" s="525">
        <v>13524.66</v>
      </c>
      <c r="I136" s="526">
        <v>1352.466</v>
      </c>
      <c r="J136" s="527"/>
      <c r="K136" s="536"/>
      <c r="L136" s="523"/>
    </row>
    <row r="137">
      <c r="A137" s="524">
        <v>43997.0</v>
      </c>
      <c r="B137" s="529">
        <v>13879.71</v>
      </c>
      <c r="C137" s="526">
        <v>1387.971</v>
      </c>
      <c r="D137" s="527"/>
      <c r="E137" s="527"/>
      <c r="F137" s="527"/>
      <c r="G137" s="524">
        <v>44002.0</v>
      </c>
      <c r="H137" s="525">
        <v>17194.32</v>
      </c>
      <c r="I137" s="526">
        <v>1719.432</v>
      </c>
      <c r="J137" s="527"/>
      <c r="K137" s="536"/>
      <c r="L137" s="523"/>
    </row>
    <row r="138">
      <c r="A138" s="524">
        <v>44012.0</v>
      </c>
      <c r="B138" s="525">
        <v>13675.87</v>
      </c>
      <c r="C138" s="526">
        <v>1367.587</v>
      </c>
      <c r="D138" s="527"/>
      <c r="E138" s="527"/>
      <c r="F138" s="527"/>
      <c r="G138" s="524">
        <v>44017.0</v>
      </c>
      <c r="H138" s="525">
        <v>12600.0</v>
      </c>
      <c r="I138" s="526">
        <v>1260.0</v>
      </c>
      <c r="J138" s="527"/>
      <c r="K138" s="536"/>
      <c r="L138" s="523"/>
    </row>
    <row r="139">
      <c r="A139" s="524">
        <v>44026.0</v>
      </c>
      <c r="B139" s="535">
        <v>13595.0</v>
      </c>
      <c r="C139" s="526">
        <v>1359.501</v>
      </c>
      <c r="D139" s="527"/>
      <c r="E139" s="527"/>
      <c r="F139" s="527"/>
      <c r="G139" s="524">
        <v>44037.0</v>
      </c>
      <c r="H139" s="535">
        <v>29049.0</v>
      </c>
      <c r="I139" s="526">
        <v>2904.853</v>
      </c>
      <c r="J139" s="527"/>
      <c r="K139" s="536"/>
      <c r="L139" s="523"/>
    </row>
    <row r="140">
      <c r="A140" s="524">
        <v>44039.0</v>
      </c>
      <c r="B140" s="529">
        <v>13519.29</v>
      </c>
      <c r="C140" s="526">
        <v>1351.929</v>
      </c>
      <c r="D140" s="527"/>
      <c r="E140" s="527"/>
      <c r="F140" s="527"/>
      <c r="G140" s="524">
        <v>44049.0</v>
      </c>
      <c r="H140" s="535">
        <v>18853.0</v>
      </c>
      <c r="I140" s="526">
        <v>1885.3</v>
      </c>
      <c r="J140" s="527"/>
      <c r="K140" s="536"/>
      <c r="L140" s="523"/>
    </row>
    <row r="141">
      <c r="A141" s="524">
        <v>44054.0</v>
      </c>
      <c r="B141" s="529">
        <v>13493.45</v>
      </c>
      <c r="C141" s="526">
        <v>1349.345</v>
      </c>
      <c r="D141" s="527"/>
      <c r="E141" s="527"/>
      <c r="F141" s="527"/>
      <c r="G141" s="524">
        <v>44063.0</v>
      </c>
      <c r="H141" s="529">
        <v>15567.67</v>
      </c>
      <c r="I141" s="526">
        <v>1556.767</v>
      </c>
      <c r="J141" s="527"/>
      <c r="K141" s="536"/>
      <c r="L141" s="523"/>
    </row>
    <row r="142">
      <c r="A142" s="524">
        <v>44068.0</v>
      </c>
      <c r="B142" s="529">
        <v>13340.57</v>
      </c>
      <c r="C142" s="526">
        <v>1334.057</v>
      </c>
      <c r="D142" s="527"/>
      <c r="E142" s="527"/>
      <c r="F142" s="527"/>
      <c r="G142" s="524">
        <v>44079.0</v>
      </c>
      <c r="H142" s="535">
        <v>17103.0</v>
      </c>
      <c r="I142" s="526">
        <v>1710.3</v>
      </c>
      <c r="J142" s="527"/>
      <c r="K142" s="536"/>
      <c r="L142" s="523"/>
    </row>
    <row r="143">
      <c r="A143" s="524">
        <v>44081.0</v>
      </c>
      <c r="B143" s="529">
        <v>13375.22</v>
      </c>
      <c r="C143" s="526">
        <v>1337.522</v>
      </c>
      <c r="D143" s="527"/>
      <c r="E143" s="527"/>
      <c r="F143" s="527"/>
      <c r="G143" s="524">
        <v>44097.0</v>
      </c>
      <c r="H143" s="529">
        <v>18733.85</v>
      </c>
      <c r="I143" s="526">
        <v>1873.385</v>
      </c>
      <c r="J143" s="527"/>
      <c r="K143" s="536"/>
      <c r="L143" s="523"/>
    </row>
    <row r="144">
      <c r="A144" s="524">
        <v>44095.0</v>
      </c>
      <c r="B144" s="535">
        <v>13302.0</v>
      </c>
      <c r="C144" s="526">
        <v>1330.2</v>
      </c>
      <c r="D144" s="527"/>
      <c r="E144" s="527"/>
      <c r="F144" s="527"/>
      <c r="G144" s="524">
        <v>44113.0</v>
      </c>
      <c r="H144" s="529">
        <v>17044.4</v>
      </c>
      <c r="I144" s="526">
        <v>1704.4</v>
      </c>
      <c r="J144" s="527"/>
      <c r="K144" s="536"/>
      <c r="L144" s="523"/>
    </row>
    <row r="145">
      <c r="A145" s="524">
        <v>44109.0</v>
      </c>
      <c r="B145" s="525">
        <v>25437.3</v>
      </c>
      <c r="C145" s="526">
        <v>2543.73</v>
      </c>
      <c r="D145" s="527"/>
      <c r="E145" s="527"/>
      <c r="F145" s="527"/>
      <c r="G145" s="524">
        <v>44125.0</v>
      </c>
      <c r="H145" s="529">
        <v>17029.85</v>
      </c>
      <c r="I145" s="526">
        <v>1702.985</v>
      </c>
      <c r="J145" s="527"/>
      <c r="K145" s="536"/>
      <c r="L145" s="523"/>
    </row>
    <row r="146">
      <c r="A146" s="524">
        <v>44124.0</v>
      </c>
      <c r="B146" s="529">
        <v>13368.08</v>
      </c>
      <c r="C146" s="526">
        <v>1336.808</v>
      </c>
      <c r="D146" s="527"/>
      <c r="E146" s="527"/>
      <c r="F146" s="527"/>
      <c r="G146" s="524">
        <v>44139.0</v>
      </c>
      <c r="H146" s="529">
        <v>17062.97</v>
      </c>
      <c r="I146" s="526">
        <v>1706.297</v>
      </c>
      <c r="J146" s="527"/>
      <c r="K146" s="536"/>
      <c r="L146" s="523"/>
    </row>
    <row r="147">
      <c r="A147" s="524">
        <v>44139.0</v>
      </c>
      <c r="B147" s="529">
        <v>13296.78</v>
      </c>
      <c r="C147" s="526">
        <v>1329.678</v>
      </c>
      <c r="D147" s="527"/>
      <c r="E147" s="527"/>
      <c r="F147" s="527"/>
      <c r="G147" s="524">
        <v>44156.0</v>
      </c>
      <c r="H147" s="529">
        <v>15377.62</v>
      </c>
      <c r="I147" s="526">
        <v>1537.762</v>
      </c>
      <c r="J147" s="527"/>
      <c r="K147" s="536"/>
      <c r="L147" s="523"/>
    </row>
    <row r="148">
      <c r="A148" s="524">
        <v>44152.0</v>
      </c>
      <c r="B148" s="529">
        <v>13268.98</v>
      </c>
      <c r="C148" s="526">
        <v>1326.898</v>
      </c>
      <c r="D148" s="527"/>
      <c r="E148" s="527"/>
      <c r="F148" s="527"/>
      <c r="G148" s="524">
        <v>44173.0</v>
      </c>
      <c r="H148" s="529">
        <v>16961.16</v>
      </c>
      <c r="I148" s="526">
        <v>1696.116</v>
      </c>
      <c r="J148" s="527"/>
      <c r="K148" s="536"/>
      <c r="L148" s="523"/>
    </row>
    <row r="149">
      <c r="A149" s="524">
        <v>44153.0</v>
      </c>
      <c r="B149" s="529">
        <v>13249.2</v>
      </c>
      <c r="C149" s="526">
        <v>1324.92</v>
      </c>
      <c r="D149" s="527"/>
      <c r="E149" s="527"/>
      <c r="F149" s="527"/>
      <c r="G149" s="524">
        <v>44183.0</v>
      </c>
      <c r="H149" s="529">
        <v>21648.83</v>
      </c>
      <c r="I149" s="526">
        <v>2164.883</v>
      </c>
      <c r="J149" s="527"/>
      <c r="K149" s="536"/>
      <c r="L149" s="523"/>
    </row>
    <row r="150">
      <c r="A150" s="524">
        <v>44167.0</v>
      </c>
      <c r="B150" s="529">
        <v>15679.42</v>
      </c>
      <c r="C150" s="526">
        <v>1567.942</v>
      </c>
      <c r="D150" s="527"/>
      <c r="E150" s="527"/>
      <c r="F150" s="527"/>
      <c r="G150" s="534"/>
      <c r="H150" s="534"/>
      <c r="I150" s="534"/>
      <c r="J150" s="527"/>
      <c r="K150" s="536"/>
      <c r="L150" s="523"/>
    </row>
    <row r="151">
      <c r="A151" s="524">
        <v>44180.0</v>
      </c>
      <c r="B151" s="529">
        <v>15656.61</v>
      </c>
      <c r="C151" s="526">
        <v>1565.661</v>
      </c>
      <c r="D151" s="527"/>
      <c r="E151" s="527"/>
      <c r="F151" s="527"/>
      <c r="G151" s="527"/>
      <c r="H151" s="527"/>
      <c r="I151" s="527"/>
      <c r="J151" s="527"/>
      <c r="K151" s="536"/>
      <c r="L151" s="523"/>
    </row>
    <row r="152">
      <c r="A152" s="524">
        <v>44189.0</v>
      </c>
      <c r="B152" s="529">
        <v>26437.75</v>
      </c>
      <c r="C152" s="526">
        <v>2643.775</v>
      </c>
      <c r="D152" s="527"/>
      <c r="E152" s="527"/>
      <c r="F152" s="527"/>
      <c r="G152" s="527"/>
      <c r="H152" s="527"/>
      <c r="I152" s="527"/>
      <c r="J152" s="527"/>
      <c r="K152" s="536"/>
      <c r="L152" s="523"/>
    </row>
    <row r="153">
      <c r="A153" s="537">
        <v>44194.0</v>
      </c>
      <c r="B153" s="538">
        <v>36113.26</v>
      </c>
      <c r="C153" s="526">
        <v>3611.326</v>
      </c>
      <c r="D153" s="527"/>
      <c r="E153" s="527"/>
      <c r="F153" s="527"/>
      <c r="G153" s="527"/>
      <c r="H153" s="527"/>
      <c r="I153" s="527"/>
      <c r="J153" s="527"/>
      <c r="K153" s="536"/>
      <c r="L153" s="523"/>
    </row>
  </sheetData>
  <mergeCells count="6">
    <mergeCell ref="A2:B2"/>
    <mergeCell ref="G2:H2"/>
    <mergeCell ref="A84:B84"/>
    <mergeCell ref="G84:H84"/>
    <mergeCell ref="A129:B129"/>
    <mergeCell ref="G129:H12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1.5"/>
    <col customWidth="1" min="3" max="3" width="8.0"/>
    <col customWidth="1" min="4" max="5" width="13.38"/>
    <col customWidth="1" min="6" max="6" width="22.38"/>
    <col customWidth="1" min="7" max="7" width="13.38"/>
    <col customWidth="1" min="8" max="8" width="13.0"/>
    <col customWidth="1" min="9" max="9" width="19.5"/>
    <col customWidth="1" min="10" max="10" width="12.63"/>
    <col customWidth="1" min="11" max="11" width="12.75"/>
    <col customWidth="1" min="14" max="14" width="19.88"/>
  </cols>
  <sheetData>
    <row r="1">
      <c r="D1" s="539"/>
      <c r="E1" s="540" t="s">
        <v>170</v>
      </c>
      <c r="F1" s="541"/>
      <c r="Q1" s="30"/>
    </row>
    <row r="2">
      <c r="A2" s="19" t="s">
        <v>171</v>
      </c>
      <c r="B2" s="69">
        <v>44689.0</v>
      </c>
      <c r="C2" s="27">
        <v>318000.0</v>
      </c>
      <c r="D2" s="542"/>
      <c r="E2" s="543" t="s">
        <v>172</v>
      </c>
      <c r="F2" s="544"/>
      <c r="Q2" s="30"/>
    </row>
    <row r="3">
      <c r="A3" s="19" t="s">
        <v>173</v>
      </c>
      <c r="B3" s="69">
        <v>44701.0</v>
      </c>
      <c r="C3" s="27">
        <v>600.0</v>
      </c>
      <c r="D3" s="542"/>
      <c r="E3" s="545" t="s">
        <v>174</v>
      </c>
      <c r="F3" s="546">
        <v>5000.0</v>
      </c>
      <c r="Q3" s="30"/>
    </row>
    <row r="4">
      <c r="A4" s="19" t="s">
        <v>175</v>
      </c>
      <c r="B4" s="69">
        <v>44720.0</v>
      </c>
      <c r="C4" s="27">
        <v>6000.0</v>
      </c>
      <c r="D4" s="542"/>
      <c r="E4" s="545" t="s">
        <v>176</v>
      </c>
      <c r="F4" s="546">
        <v>2500.0</v>
      </c>
      <c r="Q4" s="30"/>
    </row>
    <row r="5">
      <c r="A5" s="19" t="s">
        <v>177</v>
      </c>
      <c r="B5" s="69">
        <v>44725.0</v>
      </c>
      <c r="C5" s="27">
        <v>1950.0</v>
      </c>
      <c r="D5" s="542"/>
      <c r="E5" s="545" t="s">
        <v>115</v>
      </c>
      <c r="F5" s="546">
        <v>500.0</v>
      </c>
      <c r="Q5" s="30"/>
    </row>
    <row r="6">
      <c r="A6" s="19" t="s">
        <v>178</v>
      </c>
      <c r="B6" s="547">
        <v>44725.0</v>
      </c>
      <c r="C6" s="27">
        <v>175.0</v>
      </c>
      <c r="D6" s="542"/>
      <c r="E6" s="545" t="s">
        <v>179</v>
      </c>
      <c r="F6" s="546">
        <v>12000.0</v>
      </c>
      <c r="Q6" s="30"/>
    </row>
    <row r="7">
      <c r="A7" s="19" t="s">
        <v>180</v>
      </c>
      <c r="B7" s="548">
        <v>44938.0</v>
      </c>
      <c r="C7" s="402">
        <v>1850.0</v>
      </c>
      <c r="D7" s="542"/>
      <c r="E7" s="545" t="s">
        <v>181</v>
      </c>
      <c r="F7" s="546">
        <v>2500.0</v>
      </c>
      <c r="P7" s="30"/>
      <c r="Q7" s="30"/>
    </row>
    <row r="8">
      <c r="A8" s="27" t="s">
        <v>182</v>
      </c>
      <c r="B8" s="547">
        <v>45097.0</v>
      </c>
      <c r="C8" s="33">
        <v>8200.0</v>
      </c>
      <c r="D8" s="549"/>
      <c r="E8" s="545" t="s">
        <v>183</v>
      </c>
      <c r="F8" s="546">
        <v>4500.0</v>
      </c>
      <c r="H8" s="550"/>
      <c r="Q8" s="30"/>
    </row>
    <row r="9">
      <c r="A9" s="19" t="s">
        <v>180</v>
      </c>
      <c r="B9" s="548">
        <v>45097.0</v>
      </c>
      <c r="C9" s="402">
        <v>1850.0</v>
      </c>
      <c r="E9" s="545" t="s">
        <v>184</v>
      </c>
      <c r="F9" s="546">
        <v>4500.0</v>
      </c>
      <c r="H9" s="550"/>
      <c r="Q9" s="30"/>
    </row>
    <row r="10">
      <c r="A10" s="19" t="s">
        <v>185</v>
      </c>
      <c r="B10" s="548">
        <v>45100.0</v>
      </c>
      <c r="C10" s="19">
        <v>1400.0</v>
      </c>
      <c r="E10" s="551" t="s">
        <v>186</v>
      </c>
      <c r="F10" s="546">
        <v>7500.0</v>
      </c>
      <c r="H10" s="550"/>
      <c r="Q10" s="30"/>
    </row>
    <row r="11">
      <c r="A11" s="19" t="s">
        <v>187</v>
      </c>
      <c r="C11" s="19">
        <v>2150.0</v>
      </c>
      <c r="E11" s="551" t="s">
        <v>188</v>
      </c>
      <c r="F11" s="552"/>
      <c r="H11" s="550"/>
      <c r="Q11" s="30"/>
    </row>
    <row r="12">
      <c r="A12" s="553" t="s">
        <v>189</v>
      </c>
      <c r="B12" s="548"/>
      <c r="C12" s="19">
        <v>2150.0</v>
      </c>
      <c r="E12" s="554" t="s">
        <v>190</v>
      </c>
      <c r="F12" s="552"/>
      <c r="H12" s="550"/>
      <c r="Q12" s="30"/>
    </row>
    <row r="13">
      <c r="A13" s="19" t="s">
        <v>180</v>
      </c>
      <c r="B13" s="555">
        <v>45311.0</v>
      </c>
      <c r="C13" s="19">
        <v>1950.0</v>
      </c>
      <c r="E13" s="545" t="s">
        <v>191</v>
      </c>
      <c r="F13" s="552"/>
      <c r="H13" s="550"/>
      <c r="Q13" s="30"/>
    </row>
    <row r="14">
      <c r="A14" s="19" t="s">
        <v>192</v>
      </c>
      <c r="B14" s="555">
        <v>45413.0</v>
      </c>
      <c r="C14" s="19">
        <v>4800.0</v>
      </c>
      <c r="E14" s="545" t="s">
        <v>193</v>
      </c>
      <c r="F14" s="552"/>
      <c r="H14" s="550"/>
      <c r="Q14" s="30"/>
    </row>
    <row r="15">
      <c r="A15" s="27"/>
      <c r="B15" s="556"/>
      <c r="C15" s="27"/>
      <c r="D15" s="542"/>
      <c r="E15" s="557" t="s">
        <v>194</v>
      </c>
      <c r="F15" s="552"/>
      <c r="H15" s="550"/>
      <c r="Q15" s="30"/>
    </row>
    <row r="16">
      <c r="A16" s="19"/>
      <c r="B16" s="556"/>
      <c r="C16" s="19"/>
      <c r="D16" s="542"/>
      <c r="E16" s="557" t="s">
        <v>195</v>
      </c>
      <c r="F16" s="552"/>
      <c r="H16" s="550"/>
      <c r="Q16" s="30"/>
    </row>
    <row r="17">
      <c r="A17" s="19" t="s">
        <v>37</v>
      </c>
      <c r="B17" s="548"/>
      <c r="C17" s="30">
        <f>SUM(C2:C12)</f>
        <v>344325</v>
      </c>
      <c r="D17" s="549"/>
      <c r="E17" s="557" t="s">
        <v>196</v>
      </c>
      <c r="F17" s="552"/>
      <c r="H17" s="550"/>
      <c r="Q17" s="30"/>
    </row>
    <row r="18">
      <c r="A18" s="27"/>
      <c r="B18" s="558"/>
      <c r="C18" s="27"/>
      <c r="D18" s="549"/>
      <c r="E18" s="545" t="s">
        <v>197</v>
      </c>
      <c r="F18" s="559">
        <v>7000.0</v>
      </c>
      <c r="H18" s="550"/>
      <c r="Q18" s="30"/>
    </row>
    <row r="19">
      <c r="A19" s="27"/>
      <c r="B19" s="556"/>
      <c r="C19" s="27"/>
      <c r="D19" s="549"/>
      <c r="E19" s="545" t="s">
        <v>37</v>
      </c>
      <c r="F19" s="560">
        <f>SUM(F3:F11)</f>
        <v>39000</v>
      </c>
      <c r="H19" s="550"/>
      <c r="Q19" s="30"/>
    </row>
    <row r="20">
      <c r="C20" s="27"/>
      <c r="D20" s="549"/>
      <c r="E20" s="545"/>
      <c r="F20" s="561"/>
      <c r="H20" s="550"/>
      <c r="Q20" s="30"/>
    </row>
    <row r="21">
      <c r="A21" s="27"/>
      <c r="B21" s="562"/>
      <c r="C21" s="27"/>
      <c r="D21" s="549"/>
      <c r="E21" s="563"/>
      <c r="F21" s="564"/>
      <c r="H21" s="550"/>
      <c r="Q21" s="30"/>
    </row>
    <row r="22">
      <c r="A22" s="27"/>
      <c r="B22" s="562"/>
      <c r="C22" s="30"/>
      <c r="D22" s="549"/>
      <c r="E22" s="30"/>
      <c r="H22" s="550"/>
      <c r="Q22" s="30"/>
    </row>
    <row r="23">
      <c r="A23" s="27"/>
      <c r="B23" s="562"/>
      <c r="C23" s="30"/>
      <c r="D23" s="549"/>
      <c r="E23" s="30"/>
      <c r="H23" s="550"/>
      <c r="Q23" s="30"/>
    </row>
    <row r="24">
      <c r="A24" s="27"/>
      <c r="B24" s="562"/>
      <c r="C24" s="30"/>
      <c r="D24" s="549"/>
      <c r="E24" s="30"/>
      <c r="H24" s="550"/>
      <c r="Q24" s="30"/>
    </row>
    <row r="25">
      <c r="C25" s="30"/>
      <c r="D25" s="542" t="s">
        <v>198</v>
      </c>
      <c r="E25" s="30"/>
      <c r="F25" s="30"/>
      <c r="G25" s="565"/>
      <c r="H25" s="550"/>
      <c r="P25" s="30"/>
      <c r="Q25" s="30"/>
    </row>
    <row r="26">
      <c r="A26" s="30"/>
      <c r="B26" s="556"/>
      <c r="C26" s="30"/>
      <c r="D26" s="549"/>
      <c r="E26" s="30"/>
      <c r="F26" s="30"/>
      <c r="H26" s="550"/>
      <c r="P26" s="30"/>
      <c r="Q26" s="30"/>
    </row>
    <row r="27">
      <c r="A27" s="565"/>
      <c r="B27" s="562"/>
      <c r="C27" s="30"/>
      <c r="D27" s="56"/>
      <c r="E27" s="562"/>
      <c r="H27" s="550"/>
      <c r="P27" s="30"/>
      <c r="Q27" s="30"/>
    </row>
    <row r="28">
      <c r="A28" s="565"/>
      <c r="B28" s="562"/>
      <c r="C28" s="27"/>
      <c r="D28" s="56"/>
      <c r="E28" s="562"/>
      <c r="F28" s="30"/>
      <c r="G28" s="30"/>
      <c r="H28" s="550"/>
      <c r="P28" s="30"/>
      <c r="Q28" s="30"/>
    </row>
    <row r="29">
      <c r="A29" s="565"/>
      <c r="B29" s="566"/>
      <c r="D29" s="549"/>
      <c r="E29" s="30"/>
      <c r="F29" s="30"/>
      <c r="G29" s="30"/>
      <c r="H29" s="550"/>
      <c r="P29" s="30"/>
      <c r="Q29" s="30"/>
    </row>
    <row r="30">
      <c r="D30" s="549"/>
      <c r="E30" s="30"/>
      <c r="H30" s="30"/>
      <c r="P30" s="30"/>
      <c r="Q30" s="30"/>
    </row>
    <row r="31">
      <c r="A31" s="56"/>
      <c r="B31" s="562"/>
      <c r="D31" s="549"/>
      <c r="E31" s="30"/>
      <c r="F31" s="30"/>
      <c r="G31" s="30"/>
      <c r="H31" s="30"/>
      <c r="I31" s="30"/>
      <c r="J31" s="30"/>
      <c r="K31" s="567"/>
      <c r="L31" s="30"/>
      <c r="O31" s="30"/>
      <c r="P31" s="30"/>
      <c r="Q31" s="30"/>
    </row>
    <row r="32">
      <c r="A32" s="56"/>
      <c r="B32" s="562"/>
      <c r="F32" s="30"/>
      <c r="G32" s="30"/>
      <c r="H32" s="30"/>
      <c r="I32" s="30"/>
      <c r="J32" s="30"/>
      <c r="K32" s="567"/>
      <c r="L32" s="30"/>
      <c r="O32" s="30"/>
      <c r="P32" s="30"/>
      <c r="Q32" s="30"/>
    </row>
    <row r="33">
      <c r="A33" s="56"/>
      <c r="B33" s="568"/>
      <c r="D33" s="549"/>
      <c r="E33" s="30"/>
      <c r="F33" s="30"/>
      <c r="G33" s="30"/>
      <c r="H33" s="30"/>
      <c r="I33" s="30"/>
      <c r="J33" s="30"/>
      <c r="K33" s="30"/>
      <c r="L33" s="30"/>
      <c r="O33" s="30"/>
      <c r="P33" s="30"/>
      <c r="Q33" s="30"/>
    </row>
    <row r="34">
      <c r="C34" s="27"/>
      <c r="D34" s="549"/>
      <c r="E34" s="30"/>
      <c r="F34" s="30"/>
      <c r="G34" s="30"/>
      <c r="H34" s="30"/>
      <c r="I34" s="30"/>
      <c r="J34" s="30"/>
      <c r="K34" s="30"/>
      <c r="L34" s="30"/>
      <c r="O34" s="30"/>
      <c r="P34" s="30"/>
      <c r="Q34" s="30"/>
    </row>
    <row r="35">
      <c r="A35" s="565"/>
      <c r="B35" s="568"/>
      <c r="C35" s="27"/>
      <c r="F35" s="30"/>
      <c r="G35" s="30"/>
      <c r="H35" s="30"/>
      <c r="I35" s="30"/>
      <c r="J35" s="30"/>
      <c r="K35" s="30"/>
      <c r="L35" s="30"/>
      <c r="O35" s="30"/>
      <c r="P35" s="30"/>
      <c r="Q35" s="30"/>
    </row>
    <row r="36">
      <c r="A36" s="565"/>
      <c r="B36" s="562"/>
      <c r="C36" s="30"/>
      <c r="D36" s="549"/>
      <c r="E36" s="30"/>
      <c r="F36" s="30"/>
      <c r="G36" s="30"/>
      <c r="H36" s="30"/>
      <c r="I36" s="30"/>
      <c r="J36" s="30"/>
      <c r="K36" s="30"/>
      <c r="L36" s="30"/>
      <c r="O36" s="30"/>
      <c r="P36" s="30"/>
      <c r="Q36" s="30"/>
    </row>
    <row r="37">
      <c r="A37" s="56"/>
      <c r="B37" s="569"/>
      <c r="C37" s="30"/>
      <c r="D37" s="549"/>
      <c r="E37" s="30"/>
      <c r="F37" s="30"/>
      <c r="G37" s="30"/>
      <c r="H37" s="30"/>
      <c r="I37" s="30"/>
      <c r="J37" s="30"/>
      <c r="K37" s="30"/>
      <c r="L37" s="30"/>
      <c r="O37" s="30"/>
      <c r="P37" s="30"/>
      <c r="Q37" s="30"/>
    </row>
    <row r="38">
      <c r="A38" s="27"/>
      <c r="B38" s="556"/>
      <c r="D38" s="549"/>
      <c r="E38" s="30"/>
      <c r="F38" s="30"/>
      <c r="G38" s="30"/>
      <c r="H38" s="30"/>
      <c r="I38" s="30"/>
      <c r="J38" s="30"/>
      <c r="K38" s="30"/>
      <c r="L38" s="30"/>
      <c r="O38" s="30"/>
      <c r="P38" s="30"/>
      <c r="Q38" s="30"/>
    </row>
    <row r="39">
      <c r="A39" s="565"/>
      <c r="B39" s="568"/>
      <c r="C39" s="30"/>
      <c r="D39" s="549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</row>
    <row r="40">
      <c r="A40" s="30"/>
      <c r="B40" s="556"/>
      <c r="C40" s="30"/>
      <c r="D40" s="549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</row>
    <row r="41">
      <c r="A41" s="56"/>
      <c r="B41" s="568"/>
      <c r="C41" s="30"/>
      <c r="D41" s="549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</row>
    <row r="42">
      <c r="A42" s="30"/>
      <c r="B42" s="562"/>
      <c r="C42" s="30"/>
      <c r="D42" s="549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</row>
    <row r="43">
      <c r="A43" s="30"/>
      <c r="B43" s="556"/>
      <c r="C43" s="30"/>
      <c r="D43" s="549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</row>
    <row r="44">
      <c r="A44" s="30"/>
      <c r="B44" s="556"/>
      <c r="C44" s="30"/>
      <c r="D44" s="549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</row>
    <row r="45">
      <c r="A45" s="30"/>
      <c r="B45" s="556"/>
      <c r="C45" s="30"/>
      <c r="D45" s="549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</row>
    <row r="46">
      <c r="A46" s="30"/>
      <c r="B46" s="556"/>
      <c r="C46" s="30"/>
      <c r="D46" s="549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</row>
    <row r="47">
      <c r="A47" s="30"/>
      <c r="B47" s="556"/>
      <c r="C47" s="30"/>
      <c r="D47" s="549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</row>
    <row r="48">
      <c r="A48" s="30"/>
      <c r="B48" s="556"/>
      <c r="C48" s="30"/>
      <c r="D48" s="549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</row>
    <row r="49">
      <c r="A49" s="30"/>
      <c r="B49" s="556"/>
      <c r="C49" s="30"/>
      <c r="D49" s="549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</row>
    <row r="50">
      <c r="A50" s="30"/>
      <c r="B50" s="556"/>
      <c r="C50" s="30"/>
      <c r="D50" s="549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</row>
    <row r="51">
      <c r="A51" s="30"/>
      <c r="B51" s="556"/>
      <c r="C51" s="30"/>
      <c r="D51" s="549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</row>
    <row r="52">
      <c r="A52" s="30"/>
      <c r="B52" s="556"/>
      <c r="C52" s="30"/>
      <c r="D52" s="549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</row>
    <row r="53">
      <c r="A53" s="30"/>
      <c r="B53" s="556"/>
      <c r="C53" s="30"/>
      <c r="D53" s="549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</row>
    <row r="54">
      <c r="A54" s="30"/>
      <c r="B54" s="556"/>
      <c r="C54" s="30"/>
      <c r="D54" s="549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</row>
    <row r="55">
      <c r="A55" s="30"/>
      <c r="B55" s="556"/>
      <c r="C55" s="30"/>
      <c r="D55" s="549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</row>
    <row r="56">
      <c r="A56" s="30"/>
      <c r="B56" s="556"/>
      <c r="C56" s="30"/>
      <c r="D56" s="549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</row>
    <row r="57">
      <c r="A57" s="30"/>
      <c r="B57" s="556"/>
      <c r="C57" s="30"/>
      <c r="D57" s="549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</row>
    <row r="58">
      <c r="A58" s="30"/>
      <c r="B58" s="556"/>
      <c r="C58" s="30"/>
      <c r="D58" s="549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</row>
    <row r="59">
      <c r="A59" s="30"/>
      <c r="B59" s="556"/>
      <c r="C59" s="30"/>
      <c r="D59" s="549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</row>
    <row r="60">
      <c r="A60" s="30"/>
      <c r="B60" s="556"/>
      <c r="C60" s="30"/>
      <c r="D60" s="549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</row>
    <row r="61">
      <c r="A61" s="30"/>
      <c r="B61" s="556"/>
      <c r="C61" s="30"/>
      <c r="D61" s="549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</row>
    <row r="62">
      <c r="A62" s="30"/>
      <c r="B62" s="556"/>
      <c r="C62" s="30"/>
      <c r="D62" s="549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</row>
    <row r="63">
      <c r="A63" s="30"/>
      <c r="B63" s="556"/>
      <c r="C63" s="30"/>
      <c r="D63" s="549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</row>
    <row r="64">
      <c r="A64" s="30"/>
      <c r="B64" s="556"/>
      <c r="C64" s="30"/>
      <c r="D64" s="549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</row>
    <row r="65">
      <c r="A65" s="30"/>
      <c r="B65" s="556"/>
      <c r="C65" s="30"/>
      <c r="D65" s="549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</row>
    <row r="66">
      <c r="A66" s="30"/>
      <c r="B66" s="556"/>
      <c r="C66" s="30"/>
      <c r="D66" s="549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</row>
    <row r="67">
      <c r="A67" s="30"/>
      <c r="B67" s="556"/>
      <c r="C67" s="30"/>
      <c r="D67" s="549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</row>
    <row r="68">
      <c r="A68" s="30"/>
      <c r="B68" s="556"/>
      <c r="C68" s="30"/>
      <c r="D68" s="549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</row>
    <row r="69">
      <c r="A69" s="30"/>
      <c r="B69" s="556"/>
      <c r="C69" s="30"/>
      <c r="D69" s="549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</row>
    <row r="70">
      <c r="A70" s="30"/>
      <c r="B70" s="556"/>
      <c r="C70" s="30"/>
      <c r="D70" s="549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</row>
    <row r="71">
      <c r="A71" s="30"/>
      <c r="B71" s="556"/>
      <c r="C71" s="30"/>
      <c r="D71" s="549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</row>
    <row r="72">
      <c r="A72" s="30"/>
      <c r="B72" s="556"/>
      <c r="C72" s="30"/>
      <c r="D72" s="549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</row>
    <row r="73">
      <c r="A73" s="30"/>
      <c r="B73" s="556"/>
      <c r="C73" s="30"/>
      <c r="D73" s="549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</row>
    <row r="74">
      <c r="A74" s="30"/>
      <c r="B74" s="556"/>
      <c r="C74" s="30"/>
      <c r="D74" s="549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</row>
    <row r="75">
      <c r="A75" s="30"/>
      <c r="B75" s="556"/>
      <c r="C75" s="30"/>
      <c r="D75" s="549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</row>
    <row r="76">
      <c r="A76" s="30"/>
      <c r="B76" s="556"/>
      <c r="C76" s="30"/>
      <c r="D76" s="549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</row>
    <row r="77">
      <c r="A77" s="30"/>
      <c r="B77" s="556"/>
      <c r="C77" s="30"/>
      <c r="D77" s="549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</row>
    <row r="78">
      <c r="A78" s="30"/>
      <c r="B78" s="556"/>
      <c r="C78" s="30"/>
      <c r="D78" s="549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</row>
    <row r="79">
      <c r="A79" s="30"/>
      <c r="B79" s="556"/>
      <c r="C79" s="30"/>
      <c r="D79" s="549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</row>
    <row r="80">
      <c r="A80" s="30"/>
      <c r="B80" s="556"/>
      <c r="C80" s="30"/>
      <c r="D80" s="549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</row>
    <row r="81">
      <c r="A81" s="30"/>
      <c r="B81" s="556"/>
      <c r="C81" s="30"/>
      <c r="D81" s="549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</row>
    <row r="82">
      <c r="A82" s="30"/>
      <c r="B82" s="556"/>
      <c r="C82" s="30"/>
      <c r="D82" s="549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</row>
    <row r="83">
      <c r="A83" s="30"/>
      <c r="B83" s="556"/>
      <c r="C83" s="30"/>
      <c r="D83" s="549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</row>
    <row r="84">
      <c r="A84" s="30"/>
      <c r="B84" s="556"/>
      <c r="C84" s="30"/>
      <c r="D84" s="549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</row>
    <row r="85">
      <c r="A85" s="30"/>
      <c r="B85" s="556"/>
      <c r="C85" s="30"/>
      <c r="D85" s="549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</row>
    <row r="86">
      <c r="A86" s="30"/>
      <c r="B86" s="556"/>
      <c r="C86" s="30"/>
      <c r="D86" s="549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</row>
    <row r="87">
      <c r="A87" s="30"/>
      <c r="B87" s="556"/>
      <c r="C87" s="30"/>
      <c r="D87" s="549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</row>
    <row r="88">
      <c r="A88" s="30"/>
      <c r="B88" s="556"/>
      <c r="C88" s="30"/>
      <c r="D88" s="549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</row>
    <row r="89">
      <c r="A89" s="30"/>
      <c r="B89" s="556"/>
      <c r="C89" s="30"/>
      <c r="D89" s="549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</row>
    <row r="90">
      <c r="A90" s="30"/>
      <c r="B90" s="556"/>
      <c r="C90" s="30"/>
      <c r="D90" s="549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</row>
    <row r="91">
      <c r="A91" s="30"/>
      <c r="B91" s="556"/>
      <c r="C91" s="30"/>
      <c r="D91" s="549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</row>
    <row r="92">
      <c r="A92" s="30"/>
      <c r="B92" s="556"/>
      <c r="C92" s="30"/>
      <c r="D92" s="549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</row>
    <row r="93">
      <c r="A93" s="30"/>
      <c r="B93" s="556"/>
      <c r="C93" s="30"/>
      <c r="D93" s="549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</row>
    <row r="94">
      <c r="A94" s="30"/>
      <c r="B94" s="556"/>
      <c r="C94" s="30"/>
      <c r="D94" s="549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</row>
    <row r="95">
      <c r="A95" s="30"/>
      <c r="B95" s="556"/>
      <c r="C95" s="30"/>
      <c r="D95" s="549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</row>
    <row r="96">
      <c r="A96" s="30"/>
      <c r="B96" s="556"/>
      <c r="C96" s="30"/>
      <c r="D96" s="549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</row>
    <row r="97">
      <c r="A97" s="30"/>
      <c r="B97" s="556"/>
      <c r="C97" s="30"/>
      <c r="D97" s="549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</row>
    <row r="98">
      <c r="A98" s="30"/>
      <c r="B98" s="556"/>
      <c r="C98" s="30"/>
      <c r="D98" s="549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</row>
    <row r="99">
      <c r="A99" s="30"/>
      <c r="B99" s="556"/>
      <c r="C99" s="30"/>
      <c r="D99" s="549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</row>
    <row r="100">
      <c r="A100" s="30"/>
      <c r="B100" s="556"/>
      <c r="C100" s="30"/>
      <c r="D100" s="549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</row>
    <row r="101">
      <c r="A101" s="30"/>
      <c r="B101" s="556"/>
      <c r="C101" s="30"/>
      <c r="D101" s="549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</row>
    <row r="102">
      <c r="A102" s="30"/>
      <c r="B102" s="556"/>
      <c r="C102" s="30"/>
      <c r="D102" s="549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</row>
    <row r="103">
      <c r="A103" s="30"/>
      <c r="B103" s="556"/>
      <c r="C103" s="30"/>
      <c r="D103" s="549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</row>
    <row r="104">
      <c r="A104" s="30"/>
      <c r="B104" s="556"/>
      <c r="C104" s="30"/>
      <c r="D104" s="549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</row>
    <row r="105">
      <c r="A105" s="30"/>
      <c r="B105" s="556"/>
      <c r="C105" s="30"/>
      <c r="D105" s="549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</row>
    <row r="106">
      <c r="A106" s="30"/>
      <c r="B106" s="556"/>
      <c r="C106" s="30"/>
      <c r="D106" s="549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</row>
    <row r="107">
      <c r="A107" s="30"/>
      <c r="B107" s="556"/>
      <c r="C107" s="30"/>
      <c r="D107" s="549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</row>
    <row r="108">
      <c r="A108" s="30"/>
      <c r="B108" s="556"/>
      <c r="C108" s="30"/>
      <c r="D108" s="549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</row>
    <row r="109">
      <c r="A109" s="30"/>
      <c r="B109" s="556"/>
      <c r="C109" s="30"/>
      <c r="D109" s="549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</row>
    <row r="110">
      <c r="A110" s="30"/>
      <c r="B110" s="556"/>
      <c r="C110" s="30"/>
      <c r="D110" s="549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</row>
    <row r="111">
      <c r="A111" s="30"/>
      <c r="B111" s="556"/>
      <c r="C111" s="30"/>
      <c r="D111" s="549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</row>
    <row r="112">
      <c r="A112" s="30"/>
      <c r="B112" s="556"/>
      <c r="C112" s="30"/>
      <c r="D112" s="549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</row>
    <row r="113">
      <c r="A113" s="30"/>
      <c r="B113" s="556"/>
      <c r="C113" s="30"/>
      <c r="D113" s="549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</row>
    <row r="114">
      <c r="A114" s="30"/>
      <c r="B114" s="556"/>
      <c r="C114" s="30"/>
      <c r="D114" s="549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</row>
    <row r="115">
      <c r="A115" s="30"/>
      <c r="B115" s="556"/>
      <c r="C115" s="30"/>
      <c r="D115" s="549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</row>
    <row r="116">
      <c r="A116" s="30"/>
      <c r="B116" s="556"/>
      <c r="C116" s="30"/>
      <c r="D116" s="549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</row>
    <row r="117">
      <c r="A117" s="30"/>
      <c r="B117" s="556"/>
      <c r="C117" s="30"/>
      <c r="D117" s="549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</row>
    <row r="118">
      <c r="A118" s="30"/>
      <c r="B118" s="556"/>
      <c r="C118" s="30"/>
      <c r="D118" s="549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</row>
    <row r="119">
      <c r="A119" s="30"/>
      <c r="B119" s="556"/>
      <c r="C119" s="30"/>
      <c r="D119" s="549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</row>
    <row r="120">
      <c r="A120" s="30"/>
      <c r="B120" s="556"/>
      <c r="C120" s="30"/>
      <c r="D120" s="549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</row>
    <row r="121">
      <c r="A121" s="30"/>
      <c r="B121" s="556"/>
      <c r="C121" s="30"/>
      <c r="D121" s="549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</row>
    <row r="122">
      <c r="A122" s="30"/>
      <c r="B122" s="556"/>
      <c r="C122" s="30"/>
      <c r="D122" s="549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</row>
    <row r="123">
      <c r="A123" s="30"/>
      <c r="B123" s="556"/>
      <c r="C123" s="30"/>
      <c r="D123" s="549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</row>
    <row r="124">
      <c r="A124" s="30"/>
      <c r="B124" s="556"/>
      <c r="C124" s="30"/>
      <c r="D124" s="549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</row>
    <row r="125">
      <c r="A125" s="30"/>
      <c r="B125" s="556"/>
      <c r="C125" s="30"/>
      <c r="D125" s="549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</row>
    <row r="126">
      <c r="A126" s="30"/>
      <c r="B126" s="556"/>
      <c r="C126" s="30"/>
      <c r="D126" s="549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</row>
    <row r="127">
      <c r="A127" s="30"/>
      <c r="B127" s="556"/>
      <c r="C127" s="30"/>
      <c r="D127" s="549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</row>
    <row r="128">
      <c r="A128" s="30"/>
      <c r="B128" s="556"/>
      <c r="C128" s="30"/>
      <c r="D128" s="549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</row>
    <row r="129">
      <c r="A129" s="30"/>
      <c r="B129" s="556"/>
      <c r="C129" s="30"/>
      <c r="D129" s="549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</row>
    <row r="130">
      <c r="A130" s="30"/>
      <c r="B130" s="556"/>
      <c r="C130" s="30"/>
      <c r="D130" s="549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</row>
    <row r="131">
      <c r="A131" s="30"/>
      <c r="B131" s="556"/>
      <c r="C131" s="30"/>
      <c r="D131" s="549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</row>
    <row r="132">
      <c r="A132" s="30"/>
      <c r="B132" s="556"/>
      <c r="C132" s="30"/>
      <c r="D132" s="549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</row>
    <row r="133">
      <c r="A133" s="30"/>
      <c r="B133" s="556"/>
      <c r="C133" s="30"/>
      <c r="D133" s="549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</row>
    <row r="134">
      <c r="A134" s="30"/>
      <c r="B134" s="556"/>
      <c r="C134" s="30"/>
      <c r="D134" s="549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</row>
    <row r="135">
      <c r="A135" s="30"/>
      <c r="B135" s="556"/>
      <c r="C135" s="30"/>
      <c r="D135" s="549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</row>
    <row r="136">
      <c r="A136" s="30"/>
      <c r="B136" s="556"/>
      <c r="C136" s="30"/>
      <c r="D136" s="549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</row>
    <row r="137">
      <c r="A137" s="30"/>
      <c r="B137" s="556"/>
      <c r="C137" s="30"/>
      <c r="D137" s="549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</row>
    <row r="138">
      <c r="A138" s="30"/>
      <c r="B138" s="556"/>
      <c r="C138" s="30"/>
      <c r="D138" s="549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</row>
    <row r="139">
      <c r="A139" s="30"/>
      <c r="B139" s="556"/>
      <c r="C139" s="30"/>
      <c r="D139" s="549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</row>
    <row r="140">
      <c r="A140" s="30"/>
      <c r="B140" s="556"/>
      <c r="C140" s="30"/>
      <c r="D140" s="549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</row>
    <row r="141">
      <c r="A141" s="30"/>
      <c r="B141" s="556"/>
      <c r="C141" s="30"/>
      <c r="D141" s="549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</row>
    <row r="142">
      <c r="A142" s="30"/>
      <c r="B142" s="556"/>
      <c r="C142" s="30"/>
      <c r="D142" s="549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</row>
    <row r="143">
      <c r="A143" s="30"/>
      <c r="B143" s="556"/>
      <c r="C143" s="30"/>
      <c r="D143" s="549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</row>
    <row r="144">
      <c r="A144" s="30"/>
      <c r="B144" s="556"/>
      <c r="C144" s="30"/>
      <c r="D144" s="549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</row>
    <row r="145">
      <c r="A145" s="30"/>
      <c r="B145" s="556"/>
      <c r="C145" s="30"/>
      <c r="D145" s="549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</row>
    <row r="146">
      <c r="A146" s="30"/>
      <c r="B146" s="556"/>
      <c r="C146" s="30"/>
      <c r="D146" s="549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</row>
    <row r="147">
      <c r="A147" s="30"/>
      <c r="B147" s="556"/>
      <c r="C147" s="30"/>
      <c r="D147" s="549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</row>
    <row r="148">
      <c r="A148" s="30"/>
      <c r="B148" s="556"/>
      <c r="C148" s="30"/>
      <c r="D148" s="549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</row>
    <row r="149">
      <c r="A149" s="30"/>
      <c r="B149" s="556"/>
      <c r="C149" s="30"/>
      <c r="D149" s="549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</row>
    <row r="150">
      <c r="A150" s="30"/>
      <c r="B150" s="556"/>
      <c r="C150" s="30"/>
      <c r="D150" s="549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</row>
    <row r="151">
      <c r="A151" s="30"/>
      <c r="B151" s="556"/>
      <c r="C151" s="30"/>
      <c r="D151" s="549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</row>
    <row r="152">
      <c r="A152" s="30"/>
      <c r="B152" s="556"/>
      <c r="C152" s="30"/>
      <c r="D152" s="549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</row>
    <row r="153">
      <c r="A153" s="30"/>
      <c r="B153" s="556"/>
      <c r="C153" s="30"/>
      <c r="D153" s="549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</row>
    <row r="154">
      <c r="A154" s="30"/>
      <c r="B154" s="556"/>
      <c r="C154" s="30"/>
      <c r="D154" s="549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</row>
    <row r="155">
      <c r="A155" s="30"/>
      <c r="B155" s="556"/>
      <c r="C155" s="30"/>
      <c r="D155" s="549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</row>
    <row r="156">
      <c r="A156" s="30"/>
      <c r="B156" s="556"/>
      <c r="C156" s="30"/>
      <c r="D156" s="549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</row>
    <row r="157">
      <c r="A157" s="30"/>
      <c r="B157" s="556"/>
      <c r="C157" s="30"/>
      <c r="D157" s="549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</row>
    <row r="158">
      <c r="A158" s="30"/>
      <c r="B158" s="556"/>
      <c r="C158" s="30"/>
      <c r="D158" s="549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</row>
    <row r="159">
      <c r="A159" s="30"/>
      <c r="B159" s="556"/>
      <c r="C159" s="30"/>
      <c r="D159" s="549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</row>
    <row r="160">
      <c r="A160" s="30"/>
      <c r="B160" s="556"/>
      <c r="C160" s="30"/>
      <c r="D160" s="549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</row>
    <row r="161">
      <c r="A161" s="30"/>
      <c r="B161" s="556"/>
      <c r="C161" s="30"/>
      <c r="D161" s="549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</row>
    <row r="162">
      <c r="A162" s="30"/>
      <c r="B162" s="556"/>
      <c r="C162" s="30"/>
      <c r="D162" s="549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</row>
    <row r="163">
      <c r="A163" s="30"/>
      <c r="B163" s="556"/>
      <c r="C163" s="30"/>
      <c r="D163" s="549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</row>
    <row r="164">
      <c r="A164" s="30"/>
      <c r="B164" s="556"/>
      <c r="C164" s="30"/>
      <c r="D164" s="549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</row>
    <row r="165">
      <c r="A165" s="30"/>
      <c r="B165" s="556"/>
      <c r="C165" s="30"/>
      <c r="D165" s="549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</row>
    <row r="166">
      <c r="A166" s="30"/>
      <c r="B166" s="556"/>
      <c r="C166" s="30"/>
      <c r="D166" s="549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</row>
    <row r="167">
      <c r="A167" s="30"/>
      <c r="B167" s="556"/>
      <c r="C167" s="30"/>
      <c r="D167" s="549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</row>
    <row r="168">
      <c r="A168" s="30"/>
      <c r="B168" s="556"/>
      <c r="C168" s="30"/>
      <c r="D168" s="549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</row>
    <row r="169">
      <c r="A169" s="30"/>
      <c r="B169" s="556"/>
      <c r="C169" s="30"/>
      <c r="D169" s="549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</row>
    <row r="170">
      <c r="A170" s="30"/>
      <c r="B170" s="556"/>
      <c r="C170" s="30"/>
      <c r="D170" s="549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</row>
    <row r="171">
      <c r="A171" s="30"/>
      <c r="B171" s="556"/>
      <c r="C171" s="30"/>
      <c r="D171" s="549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</row>
    <row r="172">
      <c r="A172" s="30"/>
      <c r="B172" s="556"/>
      <c r="C172" s="30"/>
      <c r="D172" s="549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</row>
    <row r="173">
      <c r="A173" s="30"/>
      <c r="B173" s="556"/>
      <c r="C173" s="30"/>
      <c r="D173" s="549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</row>
    <row r="174">
      <c r="A174" s="30"/>
      <c r="B174" s="556"/>
      <c r="C174" s="30"/>
      <c r="D174" s="549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</row>
    <row r="175">
      <c r="A175" s="30"/>
      <c r="B175" s="556"/>
      <c r="C175" s="30"/>
      <c r="D175" s="549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</row>
    <row r="176">
      <c r="A176" s="30"/>
      <c r="B176" s="556"/>
      <c r="C176" s="30"/>
      <c r="D176" s="549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</row>
    <row r="177">
      <c r="A177" s="30"/>
      <c r="B177" s="556"/>
      <c r="C177" s="30"/>
      <c r="D177" s="549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</row>
    <row r="178">
      <c r="A178" s="30"/>
      <c r="B178" s="556"/>
      <c r="C178" s="30"/>
      <c r="D178" s="549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</row>
    <row r="179">
      <c r="A179" s="30"/>
      <c r="B179" s="556"/>
      <c r="C179" s="30"/>
      <c r="D179" s="549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</row>
    <row r="180">
      <c r="A180" s="30"/>
      <c r="B180" s="556"/>
      <c r="C180" s="30"/>
      <c r="D180" s="549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</row>
    <row r="181">
      <c r="A181" s="30"/>
      <c r="B181" s="556"/>
      <c r="C181" s="30"/>
      <c r="D181" s="549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</row>
    <row r="182">
      <c r="A182" s="30"/>
      <c r="B182" s="556"/>
      <c r="C182" s="30"/>
      <c r="D182" s="549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</row>
    <row r="183">
      <c r="A183" s="30"/>
      <c r="B183" s="556"/>
      <c r="C183" s="30"/>
      <c r="D183" s="549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</row>
    <row r="184">
      <c r="A184" s="30"/>
      <c r="B184" s="556"/>
      <c r="C184" s="30"/>
      <c r="D184" s="549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</row>
    <row r="185">
      <c r="A185" s="30"/>
      <c r="B185" s="556"/>
      <c r="C185" s="30"/>
      <c r="D185" s="549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</row>
    <row r="186">
      <c r="A186" s="30"/>
      <c r="B186" s="556"/>
      <c r="C186" s="30"/>
      <c r="D186" s="549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</row>
    <row r="187">
      <c r="A187" s="30"/>
      <c r="B187" s="556"/>
      <c r="C187" s="30"/>
      <c r="D187" s="549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</row>
    <row r="188">
      <c r="A188" s="30"/>
      <c r="B188" s="556"/>
      <c r="C188" s="30"/>
      <c r="D188" s="549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</row>
    <row r="189">
      <c r="A189" s="30"/>
      <c r="B189" s="556"/>
      <c r="C189" s="30"/>
      <c r="D189" s="549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</row>
    <row r="190">
      <c r="A190" s="30"/>
      <c r="B190" s="556"/>
      <c r="C190" s="30"/>
      <c r="D190" s="549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</row>
    <row r="191">
      <c r="A191" s="30"/>
      <c r="B191" s="556"/>
      <c r="C191" s="30"/>
      <c r="D191" s="549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</row>
    <row r="192">
      <c r="A192" s="30"/>
      <c r="B192" s="556"/>
      <c r="C192" s="30"/>
      <c r="D192" s="549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</row>
    <row r="193">
      <c r="A193" s="30"/>
      <c r="B193" s="556"/>
      <c r="C193" s="30"/>
      <c r="D193" s="549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</row>
    <row r="194">
      <c r="A194" s="30"/>
      <c r="B194" s="556"/>
      <c r="C194" s="30"/>
      <c r="D194" s="549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</row>
    <row r="195">
      <c r="A195" s="30"/>
      <c r="B195" s="556"/>
      <c r="C195" s="30"/>
      <c r="D195" s="549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</row>
    <row r="196">
      <c r="A196" s="30"/>
      <c r="B196" s="556"/>
      <c r="C196" s="30"/>
      <c r="D196" s="549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</row>
    <row r="197">
      <c r="A197" s="30"/>
      <c r="B197" s="556"/>
      <c r="C197" s="30"/>
      <c r="D197" s="549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</row>
    <row r="198">
      <c r="A198" s="30"/>
      <c r="B198" s="556"/>
      <c r="C198" s="30"/>
      <c r="D198" s="549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</row>
    <row r="199">
      <c r="A199" s="30"/>
      <c r="B199" s="556"/>
      <c r="C199" s="30"/>
      <c r="D199" s="549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</row>
    <row r="200">
      <c r="A200" s="30"/>
      <c r="B200" s="556"/>
      <c r="C200" s="30"/>
      <c r="D200" s="549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</row>
    <row r="201">
      <c r="A201" s="30"/>
      <c r="B201" s="556"/>
      <c r="C201" s="30"/>
      <c r="D201" s="549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</row>
    <row r="202">
      <c r="A202" s="30"/>
      <c r="B202" s="556"/>
      <c r="C202" s="30"/>
      <c r="D202" s="549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</row>
    <row r="203">
      <c r="A203" s="30"/>
      <c r="B203" s="556"/>
      <c r="C203" s="30"/>
      <c r="D203" s="549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</row>
    <row r="204">
      <c r="A204" s="30"/>
      <c r="B204" s="556"/>
      <c r="C204" s="30"/>
      <c r="D204" s="549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</row>
    <row r="205">
      <c r="A205" s="30"/>
      <c r="B205" s="556"/>
      <c r="C205" s="30"/>
      <c r="D205" s="549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</row>
    <row r="206">
      <c r="A206" s="30"/>
      <c r="B206" s="556"/>
      <c r="C206" s="30"/>
      <c r="D206" s="549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</row>
    <row r="207">
      <c r="A207" s="30"/>
      <c r="B207" s="556"/>
      <c r="C207" s="30"/>
      <c r="D207" s="549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</row>
    <row r="208">
      <c r="A208" s="30"/>
      <c r="B208" s="556"/>
      <c r="C208" s="30"/>
      <c r="D208" s="549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</row>
    <row r="209">
      <c r="A209" s="30"/>
      <c r="B209" s="556"/>
      <c r="C209" s="30"/>
      <c r="D209" s="549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</row>
    <row r="210">
      <c r="A210" s="30"/>
      <c r="B210" s="556"/>
      <c r="C210" s="30"/>
      <c r="D210" s="549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</row>
    <row r="211">
      <c r="A211" s="30"/>
      <c r="B211" s="556"/>
      <c r="C211" s="30"/>
      <c r="D211" s="549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</row>
    <row r="212">
      <c r="A212" s="30"/>
      <c r="B212" s="556"/>
      <c r="C212" s="30"/>
      <c r="D212" s="549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</row>
    <row r="213">
      <c r="A213" s="30"/>
      <c r="B213" s="556"/>
      <c r="C213" s="30"/>
      <c r="D213" s="549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</row>
    <row r="214">
      <c r="A214" s="30"/>
      <c r="B214" s="556"/>
      <c r="C214" s="30"/>
      <c r="D214" s="549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</row>
    <row r="215">
      <c r="A215" s="30"/>
      <c r="B215" s="556"/>
      <c r="C215" s="30"/>
      <c r="D215" s="549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</row>
    <row r="216">
      <c r="A216" s="30"/>
      <c r="B216" s="556"/>
      <c r="C216" s="30"/>
      <c r="D216" s="549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</row>
    <row r="217">
      <c r="A217" s="30"/>
      <c r="B217" s="556"/>
      <c r="C217" s="30"/>
      <c r="D217" s="549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</row>
    <row r="218">
      <c r="A218" s="30"/>
      <c r="B218" s="556"/>
      <c r="C218" s="30"/>
      <c r="D218" s="549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</row>
    <row r="219">
      <c r="A219" s="30"/>
      <c r="B219" s="556"/>
      <c r="C219" s="30"/>
      <c r="D219" s="549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</row>
    <row r="220">
      <c r="A220" s="30"/>
      <c r="B220" s="556"/>
      <c r="C220" s="30"/>
      <c r="D220" s="549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</row>
    <row r="221">
      <c r="A221" s="30"/>
      <c r="B221" s="556"/>
      <c r="C221" s="30"/>
      <c r="D221" s="549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</row>
    <row r="222">
      <c r="A222" s="30"/>
      <c r="B222" s="556"/>
      <c r="C222" s="30"/>
      <c r="D222" s="549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</row>
    <row r="223">
      <c r="A223" s="30"/>
      <c r="B223" s="556"/>
      <c r="C223" s="30"/>
      <c r="D223" s="549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</row>
    <row r="224">
      <c r="A224" s="30"/>
      <c r="B224" s="556"/>
      <c r="C224" s="30"/>
      <c r="D224" s="549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</row>
    <row r="225">
      <c r="A225" s="30"/>
      <c r="B225" s="556"/>
      <c r="C225" s="30"/>
      <c r="D225" s="549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</row>
    <row r="226">
      <c r="A226" s="30"/>
      <c r="B226" s="556"/>
      <c r="C226" s="30"/>
      <c r="D226" s="549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</row>
    <row r="227">
      <c r="A227" s="30"/>
      <c r="B227" s="556"/>
      <c r="C227" s="30"/>
      <c r="D227" s="549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</row>
    <row r="228">
      <c r="A228" s="30"/>
      <c r="B228" s="556"/>
      <c r="C228" s="30"/>
      <c r="D228" s="549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</row>
    <row r="229">
      <c r="A229" s="30"/>
      <c r="B229" s="556"/>
      <c r="C229" s="30"/>
      <c r="D229" s="549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</row>
    <row r="230">
      <c r="A230" s="30"/>
      <c r="B230" s="556"/>
      <c r="C230" s="30"/>
      <c r="D230" s="549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</row>
    <row r="231">
      <c r="A231" s="30"/>
      <c r="B231" s="556"/>
      <c r="C231" s="30"/>
      <c r="D231" s="549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</row>
    <row r="232">
      <c r="A232" s="30"/>
      <c r="B232" s="556"/>
      <c r="C232" s="30"/>
      <c r="D232" s="549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</row>
    <row r="233">
      <c r="A233" s="30"/>
      <c r="B233" s="556"/>
      <c r="C233" s="30"/>
      <c r="D233" s="549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</row>
    <row r="234">
      <c r="A234" s="30"/>
      <c r="B234" s="556"/>
      <c r="C234" s="30"/>
      <c r="D234" s="549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</row>
    <row r="235">
      <c r="A235" s="30"/>
      <c r="B235" s="556"/>
      <c r="C235" s="30"/>
      <c r="D235" s="549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</row>
    <row r="236">
      <c r="A236" s="30"/>
      <c r="B236" s="556"/>
      <c r="C236" s="30"/>
      <c r="D236" s="549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</row>
    <row r="237">
      <c r="A237" s="30"/>
      <c r="B237" s="556"/>
      <c r="C237" s="30"/>
      <c r="D237" s="549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</row>
    <row r="238">
      <c r="A238" s="30"/>
      <c r="B238" s="556"/>
      <c r="C238" s="30"/>
      <c r="D238" s="549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</row>
    <row r="239">
      <c r="A239" s="30"/>
      <c r="B239" s="556"/>
      <c r="C239" s="30"/>
      <c r="D239" s="549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</row>
    <row r="240">
      <c r="A240" s="30"/>
      <c r="B240" s="556"/>
      <c r="C240" s="30"/>
      <c r="D240" s="549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</row>
    <row r="241">
      <c r="A241" s="30"/>
      <c r="B241" s="556"/>
      <c r="C241" s="30"/>
      <c r="D241" s="549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</row>
    <row r="242">
      <c r="A242" s="30"/>
      <c r="B242" s="556"/>
      <c r="C242" s="30"/>
      <c r="D242" s="549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</row>
    <row r="243">
      <c r="A243" s="30"/>
      <c r="B243" s="556"/>
      <c r="C243" s="30"/>
      <c r="D243" s="549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</row>
    <row r="244">
      <c r="A244" s="30"/>
      <c r="B244" s="556"/>
      <c r="C244" s="30"/>
      <c r="D244" s="549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</row>
    <row r="245">
      <c r="A245" s="30"/>
      <c r="B245" s="556"/>
      <c r="C245" s="30"/>
      <c r="D245" s="549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</row>
    <row r="246">
      <c r="A246" s="30"/>
      <c r="B246" s="556"/>
      <c r="C246" s="30"/>
      <c r="D246" s="549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</row>
    <row r="247">
      <c r="A247" s="30"/>
      <c r="B247" s="556"/>
      <c r="C247" s="30"/>
      <c r="D247" s="549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</row>
    <row r="248">
      <c r="A248" s="30"/>
      <c r="B248" s="556"/>
      <c r="C248" s="30"/>
      <c r="D248" s="549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</row>
    <row r="249">
      <c r="A249" s="30"/>
      <c r="B249" s="556"/>
      <c r="C249" s="30"/>
      <c r="D249" s="549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</row>
    <row r="250">
      <c r="A250" s="30"/>
      <c r="B250" s="556"/>
      <c r="C250" s="30"/>
      <c r="D250" s="549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</row>
    <row r="251">
      <c r="A251" s="30"/>
      <c r="B251" s="556"/>
      <c r="C251" s="30"/>
      <c r="D251" s="549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</row>
    <row r="252">
      <c r="A252" s="30"/>
      <c r="B252" s="556"/>
      <c r="C252" s="30"/>
      <c r="D252" s="549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</row>
    <row r="253">
      <c r="A253" s="30"/>
      <c r="B253" s="556"/>
      <c r="C253" s="30"/>
      <c r="D253" s="549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</row>
    <row r="254">
      <c r="A254" s="30"/>
      <c r="B254" s="556"/>
      <c r="C254" s="30"/>
      <c r="D254" s="549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</row>
    <row r="255">
      <c r="A255" s="30"/>
      <c r="B255" s="556"/>
      <c r="C255" s="30"/>
      <c r="D255" s="549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</row>
    <row r="256">
      <c r="A256" s="30"/>
      <c r="B256" s="556"/>
      <c r="C256" s="30"/>
      <c r="D256" s="549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</row>
    <row r="257">
      <c r="A257" s="30"/>
      <c r="B257" s="556"/>
      <c r="C257" s="30"/>
      <c r="D257" s="549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</row>
    <row r="258">
      <c r="A258" s="30"/>
      <c r="B258" s="556"/>
      <c r="C258" s="30"/>
      <c r="D258" s="549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</row>
    <row r="259">
      <c r="A259" s="30"/>
      <c r="B259" s="556"/>
      <c r="C259" s="30"/>
      <c r="D259" s="549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</row>
    <row r="260">
      <c r="A260" s="30"/>
      <c r="B260" s="556"/>
      <c r="C260" s="30"/>
      <c r="D260" s="549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</row>
    <row r="261">
      <c r="A261" s="30"/>
      <c r="B261" s="556"/>
      <c r="C261" s="30"/>
      <c r="D261" s="549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</row>
    <row r="262">
      <c r="A262" s="30"/>
      <c r="B262" s="556"/>
      <c r="C262" s="30"/>
      <c r="D262" s="549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</row>
    <row r="263">
      <c r="A263" s="30"/>
      <c r="B263" s="556"/>
      <c r="C263" s="30"/>
      <c r="D263" s="549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</row>
    <row r="264">
      <c r="A264" s="30"/>
      <c r="B264" s="556"/>
      <c r="C264" s="30"/>
      <c r="D264" s="549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</row>
    <row r="265">
      <c r="A265" s="30"/>
      <c r="B265" s="556"/>
      <c r="C265" s="30"/>
      <c r="D265" s="549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</row>
    <row r="266">
      <c r="A266" s="30"/>
      <c r="B266" s="556"/>
      <c r="C266" s="30"/>
      <c r="D266" s="549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</row>
    <row r="267">
      <c r="A267" s="30"/>
      <c r="B267" s="556"/>
      <c r="C267" s="30"/>
      <c r="D267" s="549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</row>
    <row r="268">
      <c r="A268" s="30"/>
      <c r="B268" s="556"/>
      <c r="C268" s="30"/>
      <c r="D268" s="549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</row>
    <row r="269">
      <c r="A269" s="30"/>
      <c r="B269" s="556"/>
      <c r="C269" s="30"/>
      <c r="D269" s="549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</row>
    <row r="270">
      <c r="A270" s="30"/>
      <c r="B270" s="556"/>
      <c r="C270" s="30"/>
      <c r="D270" s="549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</row>
    <row r="271">
      <c r="A271" s="30"/>
      <c r="B271" s="556"/>
      <c r="C271" s="30"/>
      <c r="D271" s="549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</row>
    <row r="272">
      <c r="A272" s="30"/>
      <c r="B272" s="556"/>
      <c r="C272" s="30"/>
      <c r="D272" s="549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</row>
    <row r="273">
      <c r="A273" s="30"/>
      <c r="B273" s="556"/>
      <c r="C273" s="30"/>
      <c r="D273" s="549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</row>
    <row r="274">
      <c r="A274" s="30"/>
      <c r="B274" s="556"/>
      <c r="C274" s="30"/>
      <c r="D274" s="549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</row>
    <row r="275">
      <c r="A275" s="30"/>
      <c r="B275" s="556"/>
      <c r="C275" s="30"/>
      <c r="D275" s="549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</row>
    <row r="276">
      <c r="A276" s="30"/>
      <c r="B276" s="556"/>
      <c r="C276" s="30"/>
      <c r="D276" s="549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</row>
    <row r="277">
      <c r="A277" s="30"/>
      <c r="B277" s="556"/>
      <c r="C277" s="30"/>
      <c r="D277" s="549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</row>
    <row r="278">
      <c r="A278" s="30"/>
      <c r="B278" s="556"/>
      <c r="C278" s="30"/>
      <c r="D278" s="549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</row>
    <row r="279">
      <c r="A279" s="30"/>
      <c r="B279" s="556"/>
      <c r="C279" s="30"/>
      <c r="D279" s="549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</row>
    <row r="280">
      <c r="A280" s="30"/>
      <c r="B280" s="556"/>
      <c r="C280" s="30"/>
      <c r="D280" s="549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</row>
    <row r="281">
      <c r="A281" s="30"/>
      <c r="B281" s="556"/>
      <c r="C281" s="30"/>
      <c r="D281" s="549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</row>
    <row r="282">
      <c r="A282" s="30"/>
      <c r="B282" s="556"/>
      <c r="C282" s="30"/>
      <c r="D282" s="549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</row>
    <row r="283">
      <c r="A283" s="30"/>
      <c r="B283" s="556"/>
      <c r="C283" s="30"/>
      <c r="D283" s="549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</row>
    <row r="284">
      <c r="A284" s="30"/>
      <c r="B284" s="556"/>
      <c r="C284" s="30"/>
      <c r="D284" s="549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</row>
    <row r="285">
      <c r="A285" s="30"/>
      <c r="B285" s="556"/>
      <c r="C285" s="30"/>
      <c r="D285" s="549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</row>
    <row r="286">
      <c r="A286" s="30"/>
      <c r="B286" s="556"/>
      <c r="C286" s="30"/>
      <c r="D286" s="549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</row>
    <row r="287">
      <c r="A287" s="30"/>
      <c r="B287" s="556"/>
      <c r="C287" s="30"/>
      <c r="D287" s="549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</row>
    <row r="288">
      <c r="A288" s="30"/>
      <c r="B288" s="556"/>
      <c r="C288" s="30"/>
      <c r="D288" s="549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</row>
    <row r="289">
      <c r="A289" s="30"/>
      <c r="B289" s="556"/>
      <c r="C289" s="30"/>
      <c r="D289" s="549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</row>
    <row r="290">
      <c r="A290" s="30"/>
      <c r="B290" s="556"/>
      <c r="C290" s="30"/>
      <c r="D290" s="549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</row>
    <row r="291">
      <c r="A291" s="30"/>
      <c r="B291" s="556"/>
      <c r="C291" s="30"/>
      <c r="D291" s="549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</row>
    <row r="292">
      <c r="A292" s="30"/>
      <c r="B292" s="556"/>
      <c r="C292" s="30"/>
      <c r="D292" s="549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</row>
    <row r="293">
      <c r="A293" s="30"/>
      <c r="B293" s="556"/>
      <c r="C293" s="30"/>
      <c r="D293" s="549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</row>
    <row r="294">
      <c r="A294" s="30"/>
      <c r="B294" s="556"/>
      <c r="C294" s="30"/>
      <c r="D294" s="549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</row>
    <row r="295">
      <c r="A295" s="30"/>
      <c r="B295" s="556"/>
      <c r="C295" s="30"/>
      <c r="D295" s="549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</row>
    <row r="296">
      <c r="A296" s="30"/>
      <c r="B296" s="556"/>
      <c r="C296" s="30"/>
      <c r="D296" s="549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</row>
    <row r="297">
      <c r="A297" s="30"/>
      <c r="B297" s="556"/>
      <c r="C297" s="30"/>
      <c r="D297" s="549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</row>
    <row r="298">
      <c r="A298" s="30"/>
      <c r="B298" s="556"/>
      <c r="C298" s="30"/>
      <c r="D298" s="549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</row>
    <row r="299">
      <c r="A299" s="30"/>
      <c r="B299" s="556"/>
      <c r="C299" s="30"/>
      <c r="D299" s="549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</row>
    <row r="300">
      <c r="A300" s="30"/>
      <c r="B300" s="556"/>
      <c r="C300" s="30"/>
      <c r="D300" s="549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</row>
    <row r="301">
      <c r="A301" s="30"/>
      <c r="B301" s="556"/>
      <c r="C301" s="30"/>
      <c r="D301" s="549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</row>
    <row r="302">
      <c r="A302" s="30"/>
      <c r="B302" s="556"/>
      <c r="C302" s="30"/>
      <c r="D302" s="549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</row>
    <row r="303">
      <c r="A303" s="30"/>
      <c r="B303" s="556"/>
      <c r="C303" s="30"/>
      <c r="D303" s="549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</row>
    <row r="304">
      <c r="A304" s="30"/>
      <c r="B304" s="556"/>
      <c r="C304" s="30"/>
      <c r="D304" s="549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</row>
    <row r="305">
      <c r="A305" s="30"/>
      <c r="B305" s="556"/>
      <c r="C305" s="30"/>
      <c r="D305" s="549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</row>
    <row r="306">
      <c r="A306" s="30"/>
      <c r="B306" s="556"/>
      <c r="C306" s="30"/>
      <c r="D306" s="549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</row>
    <row r="307">
      <c r="A307" s="30"/>
      <c r="B307" s="556"/>
      <c r="C307" s="30"/>
      <c r="D307" s="549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</row>
    <row r="308">
      <c r="A308" s="30"/>
      <c r="B308" s="556"/>
      <c r="C308" s="30"/>
      <c r="D308" s="549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</row>
    <row r="309">
      <c r="A309" s="30"/>
      <c r="B309" s="556"/>
      <c r="C309" s="30"/>
      <c r="D309" s="549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</row>
    <row r="310">
      <c r="A310" s="30"/>
      <c r="B310" s="556"/>
      <c r="C310" s="30"/>
      <c r="D310" s="549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</row>
    <row r="311">
      <c r="A311" s="30"/>
      <c r="B311" s="556"/>
      <c r="C311" s="30"/>
      <c r="D311" s="549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</row>
    <row r="312">
      <c r="A312" s="30"/>
      <c r="B312" s="556"/>
      <c r="C312" s="30"/>
      <c r="D312" s="549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</row>
    <row r="313">
      <c r="A313" s="30"/>
      <c r="B313" s="556"/>
      <c r="C313" s="30"/>
      <c r="D313" s="549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</row>
    <row r="314">
      <c r="A314" s="30"/>
      <c r="B314" s="556"/>
      <c r="C314" s="30"/>
      <c r="D314" s="549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</row>
    <row r="315">
      <c r="A315" s="30"/>
      <c r="B315" s="556"/>
      <c r="C315" s="30"/>
      <c r="D315" s="549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</row>
    <row r="316">
      <c r="A316" s="30"/>
      <c r="B316" s="556"/>
      <c r="C316" s="30"/>
      <c r="D316" s="549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</row>
    <row r="317">
      <c r="A317" s="30"/>
      <c r="B317" s="556"/>
      <c r="C317" s="30"/>
      <c r="D317" s="549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</row>
    <row r="318">
      <c r="A318" s="30"/>
      <c r="B318" s="556"/>
      <c r="C318" s="30"/>
      <c r="D318" s="549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</row>
    <row r="319">
      <c r="A319" s="30"/>
      <c r="B319" s="556"/>
      <c r="C319" s="30"/>
      <c r="D319" s="549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</row>
    <row r="320">
      <c r="A320" s="30"/>
      <c r="B320" s="556"/>
      <c r="C320" s="30"/>
      <c r="D320" s="549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</row>
    <row r="321">
      <c r="A321" s="30"/>
      <c r="B321" s="556"/>
      <c r="C321" s="30"/>
      <c r="D321" s="549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</row>
    <row r="322">
      <c r="A322" s="30"/>
      <c r="B322" s="556"/>
      <c r="C322" s="30"/>
      <c r="D322" s="549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</row>
    <row r="323">
      <c r="A323" s="30"/>
      <c r="B323" s="556"/>
      <c r="C323" s="30"/>
      <c r="D323" s="549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</row>
    <row r="324">
      <c r="A324" s="30"/>
      <c r="B324" s="556"/>
      <c r="C324" s="30"/>
      <c r="D324" s="549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</row>
    <row r="325">
      <c r="A325" s="30"/>
      <c r="B325" s="556"/>
      <c r="C325" s="30"/>
      <c r="D325" s="549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</row>
    <row r="326">
      <c r="A326" s="30"/>
      <c r="B326" s="556"/>
      <c r="C326" s="30"/>
      <c r="D326" s="549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</row>
    <row r="327">
      <c r="A327" s="30"/>
      <c r="B327" s="556"/>
      <c r="C327" s="30"/>
      <c r="D327" s="549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</row>
    <row r="328">
      <c r="A328" s="30"/>
      <c r="B328" s="556"/>
      <c r="C328" s="30"/>
      <c r="D328" s="549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</row>
    <row r="329">
      <c r="A329" s="30"/>
      <c r="B329" s="556"/>
      <c r="C329" s="30"/>
      <c r="D329" s="549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</row>
    <row r="330">
      <c r="A330" s="30"/>
      <c r="B330" s="556"/>
      <c r="C330" s="30"/>
      <c r="D330" s="549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</row>
    <row r="331">
      <c r="A331" s="30"/>
      <c r="B331" s="556"/>
      <c r="C331" s="30"/>
      <c r="D331" s="549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</row>
    <row r="332">
      <c r="A332" s="30"/>
      <c r="B332" s="556"/>
      <c r="C332" s="30"/>
      <c r="D332" s="549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</row>
    <row r="333">
      <c r="A333" s="30"/>
      <c r="B333" s="556"/>
      <c r="C333" s="30"/>
      <c r="D333" s="549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</row>
    <row r="334">
      <c r="A334" s="30"/>
      <c r="B334" s="556"/>
      <c r="C334" s="30"/>
      <c r="D334" s="549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</row>
    <row r="335">
      <c r="A335" s="30"/>
      <c r="B335" s="556"/>
      <c r="C335" s="30"/>
      <c r="D335" s="549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</row>
    <row r="336">
      <c r="A336" s="30"/>
      <c r="B336" s="556"/>
      <c r="C336" s="30"/>
      <c r="D336" s="549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</row>
    <row r="337">
      <c r="A337" s="30"/>
      <c r="B337" s="556"/>
      <c r="C337" s="30"/>
      <c r="D337" s="549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</row>
    <row r="338">
      <c r="A338" s="30"/>
      <c r="B338" s="556"/>
      <c r="C338" s="30"/>
      <c r="D338" s="549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</row>
    <row r="339">
      <c r="A339" s="30"/>
      <c r="B339" s="556"/>
      <c r="C339" s="30"/>
      <c r="D339" s="549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</row>
    <row r="340">
      <c r="A340" s="30"/>
      <c r="B340" s="556"/>
      <c r="C340" s="30"/>
      <c r="D340" s="549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</row>
    <row r="341">
      <c r="A341" s="30"/>
      <c r="B341" s="556"/>
      <c r="C341" s="30"/>
      <c r="D341" s="549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</row>
    <row r="342">
      <c r="A342" s="30"/>
      <c r="B342" s="556"/>
      <c r="C342" s="30"/>
      <c r="D342" s="549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</row>
    <row r="343">
      <c r="A343" s="30"/>
      <c r="B343" s="556"/>
      <c r="C343" s="30"/>
      <c r="D343" s="549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</row>
    <row r="344">
      <c r="A344" s="30"/>
      <c r="B344" s="556"/>
      <c r="C344" s="30"/>
      <c r="D344" s="549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</row>
    <row r="345">
      <c r="A345" s="30"/>
      <c r="B345" s="556"/>
      <c r="C345" s="30"/>
      <c r="D345" s="549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</row>
    <row r="346">
      <c r="A346" s="30"/>
      <c r="B346" s="556"/>
      <c r="C346" s="30"/>
      <c r="D346" s="549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</row>
    <row r="347">
      <c r="A347" s="30"/>
      <c r="B347" s="556"/>
      <c r="C347" s="30"/>
      <c r="D347" s="549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</row>
    <row r="348">
      <c r="A348" s="30"/>
      <c r="B348" s="556"/>
      <c r="C348" s="30"/>
      <c r="D348" s="549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</row>
    <row r="349">
      <c r="A349" s="30"/>
      <c r="B349" s="556"/>
      <c r="C349" s="30"/>
      <c r="D349" s="549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</row>
    <row r="350">
      <c r="A350" s="30"/>
      <c r="B350" s="556"/>
      <c r="C350" s="30"/>
      <c r="D350" s="549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</row>
    <row r="351">
      <c r="A351" s="30"/>
      <c r="B351" s="556"/>
      <c r="C351" s="30"/>
      <c r="D351" s="549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</row>
    <row r="352">
      <c r="A352" s="30"/>
      <c r="B352" s="556"/>
      <c r="C352" s="30"/>
      <c r="D352" s="549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</row>
    <row r="353">
      <c r="A353" s="30"/>
      <c r="B353" s="556"/>
      <c r="C353" s="30"/>
      <c r="D353" s="549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</row>
    <row r="354">
      <c r="A354" s="30"/>
      <c r="B354" s="556"/>
      <c r="C354" s="30"/>
      <c r="D354" s="549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</row>
    <row r="355">
      <c r="A355" s="30"/>
      <c r="B355" s="556"/>
      <c r="C355" s="30"/>
      <c r="D355" s="549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</row>
    <row r="356">
      <c r="A356" s="30"/>
      <c r="B356" s="556"/>
      <c r="C356" s="30"/>
      <c r="D356" s="549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</row>
    <row r="357">
      <c r="A357" s="30"/>
      <c r="B357" s="556"/>
      <c r="C357" s="30"/>
      <c r="D357" s="549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</row>
    <row r="358">
      <c r="A358" s="30"/>
      <c r="B358" s="556"/>
      <c r="C358" s="30"/>
      <c r="D358" s="549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</row>
    <row r="359">
      <c r="A359" s="30"/>
      <c r="B359" s="556"/>
      <c r="C359" s="30"/>
      <c r="D359" s="549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</row>
    <row r="360">
      <c r="A360" s="30"/>
      <c r="B360" s="556"/>
      <c r="C360" s="30"/>
      <c r="D360" s="549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</row>
    <row r="361">
      <c r="A361" s="30"/>
      <c r="B361" s="556"/>
      <c r="C361" s="30"/>
      <c r="D361" s="549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</row>
    <row r="362">
      <c r="A362" s="30"/>
      <c r="B362" s="556"/>
      <c r="C362" s="30"/>
      <c r="D362" s="549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</row>
    <row r="363">
      <c r="A363" s="30"/>
      <c r="B363" s="556"/>
      <c r="C363" s="30"/>
      <c r="D363" s="549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</row>
    <row r="364">
      <c r="A364" s="30"/>
      <c r="B364" s="556"/>
      <c r="C364" s="30"/>
      <c r="D364" s="549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</row>
    <row r="365">
      <c r="A365" s="30"/>
      <c r="B365" s="556"/>
      <c r="C365" s="30"/>
      <c r="D365" s="549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</row>
    <row r="366">
      <c r="A366" s="30"/>
      <c r="B366" s="556"/>
      <c r="C366" s="30"/>
      <c r="D366" s="549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</row>
    <row r="367">
      <c r="A367" s="30"/>
      <c r="B367" s="556"/>
      <c r="C367" s="30"/>
      <c r="D367" s="549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</row>
    <row r="368">
      <c r="A368" s="30"/>
      <c r="B368" s="556"/>
      <c r="C368" s="30"/>
      <c r="D368" s="549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</row>
    <row r="369">
      <c r="A369" s="30"/>
      <c r="B369" s="556"/>
      <c r="C369" s="30"/>
      <c r="D369" s="549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</row>
    <row r="370">
      <c r="A370" s="30"/>
      <c r="B370" s="556"/>
      <c r="C370" s="30"/>
      <c r="D370" s="549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</row>
    <row r="371">
      <c r="A371" s="30"/>
      <c r="B371" s="556"/>
      <c r="C371" s="30"/>
      <c r="D371" s="549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</row>
    <row r="372">
      <c r="A372" s="30"/>
      <c r="B372" s="556"/>
      <c r="C372" s="30"/>
      <c r="D372" s="549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</row>
    <row r="373">
      <c r="A373" s="30"/>
      <c r="B373" s="556"/>
      <c r="C373" s="30"/>
      <c r="D373" s="549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</row>
    <row r="374">
      <c r="A374" s="30"/>
      <c r="B374" s="556"/>
      <c r="C374" s="30"/>
      <c r="D374" s="549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</row>
    <row r="375">
      <c r="A375" s="30"/>
      <c r="B375" s="556"/>
      <c r="C375" s="30"/>
      <c r="D375" s="549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</row>
    <row r="376">
      <c r="A376" s="30"/>
      <c r="B376" s="556"/>
      <c r="C376" s="30"/>
      <c r="D376" s="549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</row>
    <row r="377">
      <c r="A377" s="30"/>
      <c r="B377" s="556"/>
      <c r="C377" s="30"/>
      <c r="D377" s="549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</row>
    <row r="378">
      <c r="A378" s="30"/>
      <c r="B378" s="556"/>
      <c r="C378" s="30"/>
      <c r="D378" s="549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</row>
    <row r="379">
      <c r="A379" s="30"/>
      <c r="B379" s="556"/>
      <c r="C379" s="30"/>
      <c r="D379" s="549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</row>
    <row r="380">
      <c r="A380" s="30"/>
      <c r="B380" s="556"/>
      <c r="C380" s="30"/>
      <c r="D380" s="549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</row>
    <row r="381">
      <c r="A381" s="30"/>
      <c r="B381" s="556"/>
      <c r="C381" s="30"/>
      <c r="D381" s="549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</row>
    <row r="382">
      <c r="A382" s="30"/>
      <c r="B382" s="556"/>
      <c r="C382" s="30"/>
      <c r="D382" s="549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</row>
    <row r="383">
      <c r="A383" s="30"/>
      <c r="B383" s="556"/>
      <c r="C383" s="30"/>
      <c r="D383" s="549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</row>
    <row r="384">
      <c r="A384" s="30"/>
      <c r="B384" s="556"/>
      <c r="C384" s="30"/>
      <c r="D384" s="549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</row>
    <row r="385">
      <c r="A385" s="30"/>
      <c r="B385" s="556"/>
      <c r="C385" s="30"/>
      <c r="D385" s="549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</row>
    <row r="386">
      <c r="A386" s="30"/>
      <c r="B386" s="556"/>
      <c r="C386" s="30"/>
      <c r="D386" s="549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</row>
    <row r="387">
      <c r="A387" s="30"/>
      <c r="B387" s="556"/>
      <c r="C387" s="30"/>
      <c r="D387" s="549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</row>
    <row r="388">
      <c r="A388" s="30"/>
      <c r="B388" s="556"/>
      <c r="C388" s="30"/>
      <c r="D388" s="549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</row>
    <row r="389">
      <c r="A389" s="30"/>
      <c r="B389" s="556"/>
      <c r="C389" s="30"/>
      <c r="D389" s="549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</row>
    <row r="390">
      <c r="A390" s="30"/>
      <c r="B390" s="556"/>
      <c r="C390" s="30"/>
      <c r="D390" s="549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</row>
    <row r="391">
      <c r="A391" s="30"/>
      <c r="B391" s="556"/>
      <c r="C391" s="30"/>
      <c r="D391" s="549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</row>
    <row r="392">
      <c r="A392" s="30"/>
      <c r="B392" s="556"/>
      <c r="C392" s="30"/>
      <c r="D392" s="549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</row>
    <row r="393">
      <c r="A393" s="30"/>
      <c r="B393" s="556"/>
      <c r="C393" s="30"/>
      <c r="D393" s="549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</row>
    <row r="394">
      <c r="A394" s="30"/>
      <c r="B394" s="556"/>
      <c r="C394" s="30"/>
      <c r="D394" s="549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</row>
    <row r="395">
      <c r="A395" s="30"/>
      <c r="B395" s="556"/>
      <c r="C395" s="30"/>
      <c r="D395" s="549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</row>
    <row r="396">
      <c r="A396" s="30"/>
      <c r="B396" s="556"/>
      <c r="C396" s="30"/>
      <c r="D396" s="549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</row>
    <row r="397">
      <c r="A397" s="30"/>
      <c r="B397" s="556"/>
      <c r="C397" s="30"/>
      <c r="D397" s="549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</row>
    <row r="398">
      <c r="A398" s="30"/>
      <c r="B398" s="556"/>
      <c r="C398" s="30"/>
      <c r="D398" s="549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</row>
    <row r="399">
      <c r="A399" s="30"/>
      <c r="B399" s="556"/>
      <c r="C399" s="30"/>
      <c r="D399" s="549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</row>
    <row r="400">
      <c r="A400" s="30"/>
      <c r="B400" s="556"/>
      <c r="C400" s="30"/>
      <c r="D400" s="549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</row>
    <row r="401">
      <c r="A401" s="30"/>
      <c r="B401" s="556"/>
      <c r="C401" s="30"/>
      <c r="D401" s="549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</row>
    <row r="402">
      <c r="A402" s="30"/>
      <c r="B402" s="556"/>
      <c r="C402" s="30"/>
      <c r="D402" s="549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</row>
    <row r="403">
      <c r="A403" s="30"/>
      <c r="B403" s="556"/>
      <c r="C403" s="30"/>
      <c r="D403" s="549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</row>
    <row r="404">
      <c r="A404" s="30"/>
      <c r="B404" s="556"/>
      <c r="C404" s="30"/>
      <c r="D404" s="549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</row>
    <row r="405">
      <c r="A405" s="30"/>
      <c r="B405" s="556"/>
      <c r="C405" s="30"/>
      <c r="D405" s="549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</row>
    <row r="406">
      <c r="A406" s="30"/>
      <c r="B406" s="556"/>
      <c r="C406" s="30"/>
      <c r="D406" s="549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</row>
    <row r="407">
      <c r="A407" s="30"/>
      <c r="B407" s="556"/>
      <c r="C407" s="30"/>
      <c r="D407" s="549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</row>
    <row r="408">
      <c r="A408" s="30"/>
      <c r="B408" s="556"/>
      <c r="C408" s="30"/>
      <c r="D408" s="549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</row>
    <row r="409">
      <c r="A409" s="30"/>
      <c r="B409" s="556"/>
      <c r="C409" s="30"/>
      <c r="D409" s="549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</row>
    <row r="410">
      <c r="A410" s="30"/>
      <c r="B410" s="556"/>
      <c r="C410" s="30"/>
      <c r="D410" s="549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</row>
    <row r="411">
      <c r="A411" s="30"/>
      <c r="B411" s="556"/>
      <c r="C411" s="30"/>
      <c r="D411" s="549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</row>
    <row r="412">
      <c r="A412" s="30"/>
      <c r="B412" s="556"/>
      <c r="C412" s="30"/>
      <c r="D412" s="549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</row>
    <row r="413">
      <c r="A413" s="30"/>
      <c r="B413" s="556"/>
      <c r="C413" s="30"/>
      <c r="D413" s="549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</row>
    <row r="414">
      <c r="A414" s="30"/>
      <c r="B414" s="556"/>
      <c r="C414" s="30"/>
      <c r="D414" s="549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</row>
    <row r="415">
      <c r="A415" s="30"/>
      <c r="B415" s="556"/>
      <c r="C415" s="30"/>
      <c r="D415" s="549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</row>
    <row r="416">
      <c r="A416" s="30"/>
      <c r="B416" s="556"/>
      <c r="C416" s="30"/>
      <c r="D416" s="549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</row>
    <row r="417">
      <c r="A417" s="30"/>
      <c r="B417" s="556"/>
      <c r="C417" s="30"/>
      <c r="D417" s="549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</row>
    <row r="418">
      <c r="A418" s="30"/>
      <c r="B418" s="556"/>
      <c r="C418" s="30"/>
      <c r="D418" s="549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</row>
    <row r="419">
      <c r="A419" s="30"/>
      <c r="B419" s="556"/>
      <c r="C419" s="30"/>
      <c r="D419" s="549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</row>
    <row r="420">
      <c r="A420" s="30"/>
      <c r="B420" s="556"/>
      <c r="C420" s="30"/>
      <c r="D420" s="549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</row>
    <row r="421">
      <c r="A421" s="30"/>
      <c r="B421" s="556"/>
      <c r="C421" s="30"/>
      <c r="D421" s="549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</row>
    <row r="422">
      <c r="A422" s="30"/>
      <c r="B422" s="556"/>
      <c r="C422" s="30"/>
      <c r="D422" s="549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</row>
    <row r="423">
      <c r="A423" s="30"/>
      <c r="B423" s="556"/>
      <c r="C423" s="30"/>
      <c r="D423" s="549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</row>
    <row r="424">
      <c r="A424" s="30"/>
      <c r="B424" s="556"/>
      <c r="C424" s="30"/>
      <c r="D424" s="549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</row>
    <row r="425">
      <c r="A425" s="30"/>
      <c r="B425" s="556"/>
      <c r="C425" s="30"/>
      <c r="D425" s="549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</row>
    <row r="426">
      <c r="A426" s="30"/>
      <c r="B426" s="556"/>
      <c r="C426" s="30"/>
      <c r="D426" s="549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</row>
    <row r="427">
      <c r="A427" s="30"/>
      <c r="B427" s="556"/>
      <c r="C427" s="30"/>
      <c r="D427" s="549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</row>
    <row r="428">
      <c r="A428" s="30"/>
      <c r="B428" s="556"/>
      <c r="C428" s="30"/>
      <c r="D428" s="549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</row>
    <row r="429">
      <c r="A429" s="30"/>
      <c r="B429" s="556"/>
      <c r="C429" s="30"/>
      <c r="D429" s="549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</row>
    <row r="430">
      <c r="A430" s="30"/>
      <c r="B430" s="556"/>
      <c r="C430" s="30"/>
      <c r="D430" s="549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</row>
    <row r="431">
      <c r="A431" s="30"/>
      <c r="B431" s="556"/>
      <c r="C431" s="30"/>
      <c r="D431" s="549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</row>
    <row r="432">
      <c r="A432" s="30"/>
      <c r="B432" s="556"/>
      <c r="C432" s="30"/>
      <c r="D432" s="549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</row>
    <row r="433">
      <c r="A433" s="30"/>
      <c r="B433" s="556"/>
      <c r="C433" s="30"/>
      <c r="D433" s="549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</row>
    <row r="434">
      <c r="A434" s="30"/>
      <c r="B434" s="556"/>
      <c r="C434" s="30"/>
      <c r="D434" s="549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</row>
    <row r="435">
      <c r="A435" s="30"/>
      <c r="B435" s="556"/>
      <c r="C435" s="30"/>
      <c r="D435" s="549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</row>
    <row r="436">
      <c r="A436" s="30"/>
      <c r="B436" s="556"/>
      <c r="C436" s="30"/>
      <c r="D436" s="549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</row>
    <row r="437">
      <c r="A437" s="30"/>
      <c r="B437" s="556"/>
      <c r="C437" s="30"/>
      <c r="D437" s="549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</row>
    <row r="438">
      <c r="A438" s="30"/>
      <c r="B438" s="556"/>
      <c r="C438" s="30"/>
      <c r="D438" s="549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</row>
    <row r="439">
      <c r="A439" s="30"/>
      <c r="B439" s="556"/>
      <c r="C439" s="30"/>
      <c r="D439" s="549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</row>
    <row r="440">
      <c r="A440" s="30"/>
      <c r="B440" s="556"/>
      <c r="C440" s="30"/>
      <c r="D440" s="549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</row>
    <row r="441">
      <c r="A441" s="30"/>
      <c r="B441" s="556"/>
      <c r="C441" s="30"/>
      <c r="D441" s="549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</row>
    <row r="442">
      <c r="A442" s="30"/>
      <c r="B442" s="556"/>
      <c r="C442" s="30"/>
      <c r="D442" s="549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</row>
    <row r="443">
      <c r="A443" s="30"/>
      <c r="B443" s="556"/>
      <c r="C443" s="30"/>
      <c r="D443" s="549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</row>
    <row r="444">
      <c r="A444" s="30"/>
      <c r="B444" s="556"/>
      <c r="C444" s="30"/>
      <c r="D444" s="549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</row>
    <row r="445">
      <c r="A445" s="30"/>
      <c r="B445" s="556"/>
      <c r="C445" s="30"/>
      <c r="D445" s="549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</row>
    <row r="446">
      <c r="A446" s="30"/>
      <c r="B446" s="556"/>
      <c r="C446" s="30"/>
      <c r="D446" s="549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</row>
    <row r="447">
      <c r="A447" s="30"/>
      <c r="B447" s="556"/>
      <c r="C447" s="30"/>
      <c r="D447" s="549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</row>
    <row r="448">
      <c r="A448" s="30"/>
      <c r="B448" s="556"/>
      <c r="C448" s="30"/>
      <c r="D448" s="549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</row>
    <row r="449">
      <c r="A449" s="30"/>
      <c r="B449" s="556"/>
      <c r="C449" s="30"/>
      <c r="D449" s="549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</row>
    <row r="450">
      <c r="A450" s="30"/>
      <c r="B450" s="556"/>
      <c r="C450" s="30"/>
      <c r="D450" s="549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</row>
    <row r="451">
      <c r="A451" s="30"/>
      <c r="B451" s="556"/>
      <c r="C451" s="30"/>
      <c r="D451" s="549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</row>
    <row r="452">
      <c r="A452" s="30"/>
      <c r="B452" s="556"/>
      <c r="C452" s="30"/>
      <c r="D452" s="549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</row>
    <row r="453">
      <c r="A453" s="30"/>
      <c r="B453" s="556"/>
      <c r="C453" s="30"/>
      <c r="D453" s="549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</row>
    <row r="454">
      <c r="A454" s="30"/>
      <c r="B454" s="556"/>
      <c r="C454" s="30"/>
      <c r="D454" s="549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</row>
    <row r="455">
      <c r="A455" s="30"/>
      <c r="B455" s="556"/>
      <c r="C455" s="30"/>
      <c r="D455" s="549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</row>
    <row r="456">
      <c r="A456" s="30"/>
      <c r="B456" s="556"/>
      <c r="C456" s="30"/>
      <c r="D456" s="549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</row>
    <row r="457">
      <c r="A457" s="30"/>
      <c r="B457" s="556"/>
      <c r="C457" s="30"/>
      <c r="D457" s="549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</row>
    <row r="458">
      <c r="A458" s="30"/>
      <c r="B458" s="556"/>
      <c r="C458" s="30"/>
      <c r="D458" s="549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</row>
    <row r="459">
      <c r="A459" s="30"/>
      <c r="B459" s="556"/>
      <c r="C459" s="30"/>
      <c r="D459" s="549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</row>
    <row r="460">
      <c r="A460" s="30"/>
      <c r="B460" s="556"/>
      <c r="C460" s="30"/>
      <c r="D460" s="549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</row>
    <row r="461">
      <c r="A461" s="30"/>
      <c r="B461" s="556"/>
      <c r="C461" s="30"/>
      <c r="D461" s="549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</row>
    <row r="462">
      <c r="A462" s="30"/>
      <c r="B462" s="556"/>
      <c r="C462" s="30"/>
      <c r="D462" s="549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</row>
    <row r="463">
      <c r="A463" s="30"/>
      <c r="B463" s="556"/>
      <c r="C463" s="30"/>
      <c r="D463" s="549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</row>
    <row r="464">
      <c r="A464" s="30"/>
      <c r="B464" s="556"/>
      <c r="C464" s="30"/>
      <c r="D464" s="549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</row>
    <row r="465">
      <c r="A465" s="30"/>
      <c r="B465" s="556"/>
      <c r="C465" s="30"/>
      <c r="D465" s="549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</row>
    <row r="466">
      <c r="A466" s="30"/>
      <c r="B466" s="556"/>
      <c r="C466" s="30"/>
      <c r="D466" s="549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</row>
    <row r="467">
      <c r="A467" s="30"/>
      <c r="B467" s="556"/>
      <c r="C467" s="30"/>
      <c r="D467" s="549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</row>
    <row r="468">
      <c r="A468" s="30"/>
      <c r="B468" s="556"/>
      <c r="C468" s="30"/>
      <c r="D468" s="549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</row>
    <row r="469">
      <c r="A469" s="30"/>
      <c r="B469" s="556"/>
      <c r="C469" s="30"/>
      <c r="D469" s="549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</row>
    <row r="470">
      <c r="A470" s="30"/>
      <c r="B470" s="556"/>
      <c r="C470" s="30"/>
      <c r="D470" s="549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</row>
    <row r="471">
      <c r="A471" s="30"/>
      <c r="B471" s="556"/>
      <c r="C471" s="30"/>
      <c r="D471" s="549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</row>
    <row r="472">
      <c r="A472" s="30"/>
      <c r="B472" s="556"/>
      <c r="C472" s="30"/>
      <c r="D472" s="549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</row>
    <row r="473">
      <c r="A473" s="30"/>
      <c r="B473" s="556"/>
      <c r="C473" s="30"/>
      <c r="D473" s="549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</row>
    <row r="474">
      <c r="A474" s="30"/>
      <c r="B474" s="556"/>
      <c r="C474" s="30"/>
      <c r="D474" s="549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</row>
    <row r="475">
      <c r="A475" s="30"/>
      <c r="B475" s="556"/>
      <c r="C475" s="30"/>
      <c r="D475" s="549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</row>
    <row r="476">
      <c r="A476" s="30"/>
      <c r="B476" s="556"/>
      <c r="C476" s="30"/>
      <c r="D476" s="549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</row>
    <row r="477">
      <c r="A477" s="30"/>
      <c r="B477" s="556"/>
      <c r="C477" s="30"/>
      <c r="D477" s="549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</row>
    <row r="478">
      <c r="A478" s="30"/>
      <c r="B478" s="556"/>
      <c r="C478" s="30"/>
      <c r="D478" s="549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</row>
    <row r="479">
      <c r="A479" s="30"/>
      <c r="B479" s="556"/>
      <c r="C479" s="30"/>
      <c r="D479" s="549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</row>
    <row r="480">
      <c r="A480" s="30"/>
      <c r="B480" s="556"/>
      <c r="C480" s="30"/>
      <c r="D480" s="549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</row>
    <row r="481">
      <c r="A481" s="30"/>
      <c r="B481" s="556"/>
      <c r="C481" s="30"/>
      <c r="D481" s="549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</row>
    <row r="482">
      <c r="A482" s="30"/>
      <c r="B482" s="556"/>
      <c r="C482" s="30"/>
      <c r="D482" s="549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</row>
    <row r="483">
      <c r="A483" s="30"/>
      <c r="B483" s="556"/>
      <c r="C483" s="30"/>
      <c r="D483" s="549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</row>
    <row r="484">
      <c r="A484" s="30"/>
      <c r="B484" s="556"/>
      <c r="C484" s="30"/>
      <c r="D484" s="549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</row>
    <row r="485">
      <c r="A485" s="30"/>
      <c r="B485" s="556"/>
      <c r="C485" s="30"/>
      <c r="D485" s="549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</row>
    <row r="486">
      <c r="A486" s="30"/>
      <c r="B486" s="556"/>
      <c r="C486" s="30"/>
      <c r="D486" s="549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</row>
    <row r="487">
      <c r="A487" s="30"/>
      <c r="B487" s="556"/>
      <c r="C487" s="30"/>
      <c r="D487" s="549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</row>
    <row r="488">
      <c r="A488" s="30"/>
      <c r="B488" s="556"/>
      <c r="C488" s="30"/>
      <c r="D488" s="549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</row>
    <row r="489">
      <c r="A489" s="30"/>
      <c r="B489" s="556"/>
      <c r="C489" s="30"/>
      <c r="D489" s="549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</row>
    <row r="490">
      <c r="A490" s="30"/>
      <c r="B490" s="556"/>
      <c r="C490" s="30"/>
      <c r="D490" s="549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</row>
    <row r="491">
      <c r="A491" s="30"/>
      <c r="B491" s="556"/>
      <c r="C491" s="30"/>
      <c r="D491" s="549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</row>
    <row r="492">
      <c r="A492" s="30"/>
      <c r="B492" s="556"/>
      <c r="C492" s="30"/>
      <c r="D492" s="549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</row>
    <row r="493">
      <c r="A493" s="30"/>
      <c r="B493" s="556"/>
      <c r="C493" s="30"/>
      <c r="D493" s="549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</row>
    <row r="494">
      <c r="A494" s="30"/>
      <c r="B494" s="556"/>
      <c r="C494" s="30"/>
      <c r="D494" s="549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</row>
    <row r="495">
      <c r="A495" s="30"/>
      <c r="B495" s="556"/>
      <c r="C495" s="30"/>
      <c r="D495" s="549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</row>
    <row r="496">
      <c r="A496" s="30"/>
      <c r="B496" s="556"/>
      <c r="C496" s="30"/>
      <c r="D496" s="549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</row>
    <row r="497">
      <c r="A497" s="30"/>
      <c r="B497" s="556"/>
      <c r="C497" s="30"/>
      <c r="D497" s="549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</row>
    <row r="498">
      <c r="A498" s="30"/>
      <c r="B498" s="556"/>
      <c r="C498" s="30"/>
      <c r="D498" s="549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</row>
    <row r="499">
      <c r="A499" s="30"/>
      <c r="B499" s="556"/>
      <c r="C499" s="30"/>
      <c r="D499" s="549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</row>
    <row r="500">
      <c r="A500" s="30"/>
      <c r="B500" s="556"/>
      <c r="C500" s="30"/>
      <c r="D500" s="549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</row>
    <row r="501">
      <c r="A501" s="30"/>
      <c r="B501" s="556"/>
      <c r="C501" s="30"/>
      <c r="D501" s="549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</row>
    <row r="502">
      <c r="A502" s="30"/>
      <c r="B502" s="556"/>
      <c r="C502" s="30"/>
      <c r="D502" s="549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</row>
    <row r="503">
      <c r="A503" s="30"/>
      <c r="B503" s="556"/>
      <c r="C503" s="30"/>
      <c r="D503" s="549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</row>
    <row r="504">
      <c r="A504" s="30"/>
      <c r="B504" s="556"/>
      <c r="C504" s="30"/>
      <c r="D504" s="549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</row>
    <row r="505">
      <c r="A505" s="30"/>
      <c r="B505" s="556"/>
      <c r="C505" s="30"/>
      <c r="D505" s="549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</row>
    <row r="506">
      <c r="A506" s="30"/>
      <c r="B506" s="556"/>
      <c r="C506" s="30"/>
      <c r="D506" s="549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</row>
    <row r="507">
      <c r="A507" s="30"/>
      <c r="B507" s="556"/>
      <c r="C507" s="30"/>
      <c r="D507" s="549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</row>
    <row r="508">
      <c r="A508" s="30"/>
      <c r="B508" s="556"/>
      <c r="C508" s="30"/>
      <c r="D508" s="549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</row>
    <row r="509">
      <c r="A509" s="30"/>
      <c r="B509" s="556"/>
      <c r="C509" s="30"/>
      <c r="D509" s="549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</row>
    <row r="510">
      <c r="A510" s="30"/>
      <c r="B510" s="556"/>
      <c r="C510" s="30"/>
      <c r="D510" s="549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</row>
    <row r="511">
      <c r="A511" s="30"/>
      <c r="B511" s="556"/>
      <c r="C511" s="30"/>
      <c r="D511" s="549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</row>
    <row r="512">
      <c r="A512" s="30"/>
      <c r="B512" s="556"/>
      <c r="C512" s="30"/>
      <c r="D512" s="549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</row>
    <row r="513">
      <c r="A513" s="30"/>
      <c r="B513" s="556"/>
      <c r="C513" s="30"/>
      <c r="D513" s="549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</row>
    <row r="514">
      <c r="A514" s="30"/>
      <c r="B514" s="556"/>
      <c r="C514" s="30"/>
      <c r="D514" s="549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</row>
    <row r="515">
      <c r="A515" s="30"/>
      <c r="B515" s="556"/>
      <c r="C515" s="30"/>
      <c r="D515" s="549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</row>
    <row r="516">
      <c r="A516" s="30"/>
      <c r="B516" s="556"/>
      <c r="C516" s="30"/>
      <c r="D516" s="549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</row>
    <row r="517">
      <c r="A517" s="30"/>
      <c r="B517" s="556"/>
      <c r="C517" s="30"/>
      <c r="D517" s="549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</row>
    <row r="518">
      <c r="A518" s="30"/>
      <c r="B518" s="556"/>
      <c r="C518" s="30"/>
      <c r="D518" s="549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</row>
    <row r="519">
      <c r="A519" s="30"/>
      <c r="B519" s="556"/>
      <c r="C519" s="30"/>
      <c r="D519" s="549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</row>
    <row r="520">
      <c r="A520" s="30"/>
      <c r="B520" s="556"/>
      <c r="C520" s="30"/>
      <c r="D520" s="549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</row>
    <row r="521">
      <c r="A521" s="30"/>
      <c r="B521" s="556"/>
      <c r="C521" s="30"/>
      <c r="D521" s="549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</row>
    <row r="522">
      <c r="A522" s="30"/>
      <c r="B522" s="556"/>
      <c r="C522" s="30"/>
      <c r="D522" s="549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</row>
    <row r="523">
      <c r="A523" s="30"/>
      <c r="B523" s="556"/>
      <c r="C523" s="30"/>
      <c r="D523" s="549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</row>
    <row r="524">
      <c r="A524" s="30"/>
      <c r="B524" s="556"/>
      <c r="C524" s="30"/>
      <c r="D524" s="549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</row>
    <row r="525">
      <c r="A525" s="30"/>
      <c r="B525" s="556"/>
      <c r="C525" s="30"/>
      <c r="D525" s="549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</row>
    <row r="526">
      <c r="A526" s="30"/>
      <c r="B526" s="556"/>
      <c r="C526" s="30"/>
      <c r="D526" s="549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</row>
    <row r="527">
      <c r="A527" s="30"/>
      <c r="B527" s="556"/>
      <c r="C527" s="30"/>
      <c r="D527" s="549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</row>
    <row r="528">
      <c r="A528" s="30"/>
      <c r="B528" s="556"/>
      <c r="C528" s="30"/>
      <c r="D528" s="549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</row>
    <row r="529">
      <c r="A529" s="30"/>
      <c r="B529" s="556"/>
      <c r="C529" s="30"/>
      <c r="D529" s="549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</row>
    <row r="530">
      <c r="A530" s="30"/>
      <c r="B530" s="556"/>
      <c r="C530" s="30"/>
      <c r="D530" s="549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</row>
    <row r="531">
      <c r="A531" s="30"/>
      <c r="B531" s="556"/>
      <c r="C531" s="30"/>
      <c r="D531" s="549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</row>
    <row r="532">
      <c r="A532" s="30"/>
      <c r="B532" s="556"/>
      <c r="C532" s="30"/>
      <c r="D532" s="549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</row>
    <row r="533">
      <c r="A533" s="30"/>
      <c r="B533" s="556"/>
      <c r="C533" s="30"/>
      <c r="D533" s="549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</row>
    <row r="534">
      <c r="A534" s="30"/>
      <c r="B534" s="556"/>
      <c r="C534" s="30"/>
      <c r="D534" s="549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</row>
    <row r="535">
      <c r="A535" s="30"/>
      <c r="B535" s="556"/>
      <c r="C535" s="30"/>
      <c r="D535" s="549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</row>
    <row r="536">
      <c r="A536" s="30"/>
      <c r="B536" s="556"/>
      <c r="C536" s="30"/>
      <c r="D536" s="549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</row>
    <row r="537">
      <c r="A537" s="30"/>
      <c r="B537" s="556"/>
      <c r="C537" s="30"/>
      <c r="D537" s="549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</row>
    <row r="538">
      <c r="A538" s="30"/>
      <c r="B538" s="556"/>
      <c r="C538" s="30"/>
      <c r="D538" s="549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</row>
    <row r="539">
      <c r="A539" s="30"/>
      <c r="B539" s="556"/>
      <c r="C539" s="30"/>
      <c r="D539" s="549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</row>
    <row r="540">
      <c r="A540" s="30"/>
      <c r="B540" s="556"/>
      <c r="C540" s="30"/>
      <c r="D540" s="549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</row>
    <row r="541">
      <c r="A541" s="30"/>
      <c r="B541" s="556"/>
      <c r="C541" s="30"/>
      <c r="D541" s="549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</row>
    <row r="542">
      <c r="A542" s="30"/>
      <c r="B542" s="556"/>
      <c r="C542" s="30"/>
      <c r="D542" s="549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</row>
    <row r="543">
      <c r="A543" s="30"/>
      <c r="B543" s="556"/>
      <c r="C543" s="30"/>
      <c r="D543" s="549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</row>
    <row r="544">
      <c r="A544" s="30"/>
      <c r="B544" s="556"/>
      <c r="C544" s="30"/>
      <c r="D544" s="549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</row>
    <row r="545">
      <c r="A545" s="30"/>
      <c r="B545" s="556"/>
      <c r="C545" s="30"/>
      <c r="D545" s="549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</row>
    <row r="546">
      <c r="A546" s="30"/>
      <c r="B546" s="556"/>
      <c r="C546" s="30"/>
      <c r="D546" s="549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</row>
    <row r="547">
      <c r="A547" s="30"/>
      <c r="B547" s="556"/>
      <c r="C547" s="30"/>
      <c r="D547" s="549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</row>
    <row r="548">
      <c r="A548" s="30"/>
      <c r="B548" s="556"/>
      <c r="C548" s="30"/>
      <c r="D548" s="549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</row>
    <row r="549">
      <c r="A549" s="30"/>
      <c r="B549" s="556"/>
      <c r="C549" s="30"/>
      <c r="D549" s="549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</row>
    <row r="550">
      <c r="A550" s="30"/>
      <c r="B550" s="556"/>
      <c r="C550" s="30"/>
      <c r="D550" s="549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</row>
    <row r="551">
      <c r="A551" s="30"/>
      <c r="B551" s="556"/>
      <c r="C551" s="30"/>
      <c r="D551" s="549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</row>
    <row r="552">
      <c r="A552" s="30"/>
      <c r="B552" s="556"/>
      <c r="C552" s="30"/>
      <c r="D552" s="549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</row>
    <row r="553">
      <c r="A553" s="30"/>
      <c r="B553" s="556"/>
      <c r="C553" s="30"/>
      <c r="D553" s="549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</row>
    <row r="554">
      <c r="A554" s="30"/>
      <c r="B554" s="556"/>
      <c r="C554" s="30"/>
      <c r="D554" s="549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</row>
    <row r="555">
      <c r="A555" s="30"/>
      <c r="B555" s="556"/>
      <c r="C555" s="30"/>
      <c r="D555" s="549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</row>
    <row r="556">
      <c r="A556" s="30"/>
      <c r="B556" s="556"/>
      <c r="C556" s="30"/>
      <c r="D556" s="549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</row>
    <row r="557">
      <c r="A557" s="30"/>
      <c r="B557" s="556"/>
      <c r="C557" s="30"/>
      <c r="D557" s="549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</row>
    <row r="558">
      <c r="A558" s="30"/>
      <c r="B558" s="556"/>
      <c r="C558" s="30"/>
      <c r="D558" s="549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</row>
    <row r="559">
      <c r="A559" s="30"/>
      <c r="B559" s="556"/>
      <c r="C559" s="30"/>
      <c r="D559" s="549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</row>
    <row r="560">
      <c r="A560" s="30"/>
      <c r="B560" s="556"/>
      <c r="C560" s="30"/>
      <c r="D560" s="549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</row>
    <row r="561">
      <c r="A561" s="30"/>
      <c r="B561" s="556"/>
      <c r="C561" s="30"/>
      <c r="D561" s="549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</row>
    <row r="562">
      <c r="A562" s="30"/>
      <c r="B562" s="556"/>
      <c r="C562" s="30"/>
      <c r="D562" s="549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</row>
    <row r="563">
      <c r="A563" s="30"/>
      <c r="B563" s="556"/>
      <c r="C563" s="30"/>
      <c r="D563" s="549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</row>
    <row r="564">
      <c r="A564" s="30"/>
      <c r="B564" s="556"/>
      <c r="C564" s="30"/>
      <c r="D564" s="549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</row>
    <row r="565">
      <c r="A565" s="30"/>
      <c r="B565" s="556"/>
      <c r="C565" s="30"/>
      <c r="D565" s="549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</row>
    <row r="566">
      <c r="A566" s="30"/>
      <c r="B566" s="556"/>
      <c r="C566" s="30"/>
      <c r="D566" s="549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</row>
    <row r="567">
      <c r="A567" s="30"/>
      <c r="B567" s="556"/>
      <c r="C567" s="30"/>
      <c r="D567" s="549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</row>
    <row r="568">
      <c r="A568" s="30"/>
      <c r="B568" s="556"/>
      <c r="C568" s="30"/>
      <c r="D568" s="549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</row>
    <row r="569">
      <c r="A569" s="30"/>
      <c r="B569" s="556"/>
      <c r="C569" s="30"/>
      <c r="D569" s="549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</row>
    <row r="570">
      <c r="A570" s="30"/>
      <c r="B570" s="556"/>
      <c r="C570" s="30"/>
      <c r="D570" s="549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</row>
    <row r="571">
      <c r="A571" s="30"/>
      <c r="B571" s="556"/>
      <c r="C571" s="30"/>
      <c r="D571" s="549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</row>
    <row r="572">
      <c r="A572" s="30"/>
      <c r="B572" s="556"/>
      <c r="C572" s="30"/>
      <c r="D572" s="549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</row>
    <row r="573">
      <c r="A573" s="30"/>
      <c r="B573" s="556"/>
      <c r="C573" s="30"/>
      <c r="D573" s="549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</row>
    <row r="574">
      <c r="A574" s="30"/>
      <c r="B574" s="556"/>
      <c r="C574" s="30"/>
      <c r="D574" s="549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</row>
    <row r="575">
      <c r="A575" s="30"/>
      <c r="B575" s="556"/>
      <c r="C575" s="30"/>
      <c r="D575" s="549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</row>
    <row r="576">
      <c r="A576" s="30"/>
      <c r="B576" s="556"/>
      <c r="C576" s="30"/>
      <c r="D576" s="549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</row>
    <row r="577">
      <c r="A577" s="30"/>
      <c r="B577" s="556"/>
      <c r="C577" s="30"/>
      <c r="D577" s="549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</row>
    <row r="578">
      <c r="A578" s="30"/>
      <c r="B578" s="556"/>
      <c r="C578" s="30"/>
      <c r="D578" s="549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</row>
    <row r="579">
      <c r="A579" s="30"/>
      <c r="B579" s="556"/>
      <c r="C579" s="30"/>
      <c r="D579" s="549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</row>
    <row r="580">
      <c r="A580" s="30"/>
      <c r="B580" s="556"/>
      <c r="C580" s="30"/>
      <c r="D580" s="549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</row>
    <row r="581">
      <c r="A581" s="30"/>
      <c r="B581" s="556"/>
      <c r="C581" s="30"/>
      <c r="D581" s="549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</row>
    <row r="582">
      <c r="A582" s="30"/>
      <c r="B582" s="556"/>
      <c r="C582" s="30"/>
      <c r="D582" s="549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</row>
    <row r="583">
      <c r="A583" s="30"/>
      <c r="B583" s="556"/>
      <c r="C583" s="30"/>
      <c r="D583" s="549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</row>
    <row r="584">
      <c r="A584" s="30"/>
      <c r="B584" s="556"/>
      <c r="C584" s="30"/>
      <c r="D584" s="549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</row>
    <row r="585">
      <c r="A585" s="30"/>
      <c r="B585" s="556"/>
      <c r="C585" s="30"/>
      <c r="D585" s="549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</row>
    <row r="586">
      <c r="A586" s="30"/>
      <c r="B586" s="556"/>
      <c r="C586" s="30"/>
      <c r="D586" s="549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</row>
    <row r="587">
      <c r="A587" s="30"/>
      <c r="B587" s="556"/>
      <c r="C587" s="30"/>
      <c r="D587" s="549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</row>
    <row r="588">
      <c r="A588" s="30"/>
      <c r="B588" s="556"/>
      <c r="C588" s="30"/>
      <c r="D588" s="549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</row>
    <row r="589">
      <c r="A589" s="30"/>
      <c r="B589" s="556"/>
      <c r="C589" s="30"/>
      <c r="D589" s="549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</row>
    <row r="590">
      <c r="A590" s="30"/>
      <c r="B590" s="556"/>
      <c r="C590" s="30"/>
      <c r="D590" s="549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</row>
    <row r="591">
      <c r="A591" s="30"/>
      <c r="B591" s="556"/>
      <c r="C591" s="30"/>
      <c r="D591" s="549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</row>
    <row r="592">
      <c r="A592" s="30"/>
      <c r="B592" s="556"/>
      <c r="C592" s="30"/>
      <c r="D592" s="549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</row>
    <row r="593">
      <c r="A593" s="30"/>
      <c r="B593" s="556"/>
      <c r="C593" s="30"/>
      <c r="D593" s="549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</row>
    <row r="594">
      <c r="A594" s="30"/>
      <c r="B594" s="556"/>
      <c r="C594" s="30"/>
      <c r="D594" s="549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</row>
    <row r="595">
      <c r="A595" s="30"/>
      <c r="B595" s="556"/>
      <c r="C595" s="30"/>
      <c r="D595" s="549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</row>
    <row r="596">
      <c r="A596" s="30"/>
      <c r="B596" s="556"/>
      <c r="C596" s="30"/>
      <c r="D596" s="549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</row>
    <row r="597">
      <c r="A597" s="30"/>
      <c r="B597" s="556"/>
      <c r="C597" s="30"/>
      <c r="D597" s="549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</row>
    <row r="598">
      <c r="A598" s="30"/>
      <c r="B598" s="556"/>
      <c r="C598" s="30"/>
      <c r="D598" s="549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</row>
    <row r="599">
      <c r="A599" s="30"/>
      <c r="B599" s="556"/>
      <c r="C599" s="30"/>
      <c r="D599" s="549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</row>
    <row r="600">
      <c r="A600" s="30"/>
      <c r="B600" s="556"/>
      <c r="C600" s="30"/>
      <c r="D600" s="549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</row>
    <row r="601">
      <c r="A601" s="30"/>
      <c r="B601" s="556"/>
      <c r="C601" s="30"/>
      <c r="D601" s="549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</row>
    <row r="602">
      <c r="A602" s="30"/>
      <c r="B602" s="556"/>
      <c r="C602" s="30"/>
      <c r="D602" s="549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</row>
    <row r="603">
      <c r="A603" s="30"/>
      <c r="B603" s="556"/>
      <c r="C603" s="30"/>
      <c r="D603" s="549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</row>
    <row r="604">
      <c r="A604" s="30"/>
      <c r="B604" s="556"/>
      <c r="C604" s="30"/>
      <c r="D604" s="549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</row>
    <row r="605">
      <c r="A605" s="30"/>
      <c r="B605" s="556"/>
      <c r="C605" s="30"/>
      <c r="D605" s="549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</row>
    <row r="606">
      <c r="A606" s="30"/>
      <c r="B606" s="556"/>
      <c r="C606" s="30"/>
      <c r="D606" s="549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</row>
    <row r="607">
      <c r="A607" s="30"/>
      <c r="B607" s="556"/>
      <c r="C607" s="30"/>
      <c r="D607" s="549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</row>
    <row r="608">
      <c r="A608" s="30"/>
      <c r="B608" s="556"/>
      <c r="C608" s="30"/>
      <c r="D608" s="549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</row>
    <row r="609">
      <c r="A609" s="30"/>
      <c r="B609" s="556"/>
      <c r="C609" s="30"/>
      <c r="D609" s="549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</row>
    <row r="610">
      <c r="A610" s="30"/>
      <c r="B610" s="556"/>
      <c r="C610" s="30"/>
      <c r="D610" s="549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</row>
    <row r="611">
      <c r="A611" s="30"/>
      <c r="B611" s="556"/>
      <c r="C611" s="30"/>
      <c r="D611" s="549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</row>
    <row r="612">
      <c r="A612" s="30"/>
      <c r="B612" s="556"/>
      <c r="C612" s="30"/>
      <c r="D612" s="549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</row>
    <row r="613">
      <c r="A613" s="30"/>
      <c r="B613" s="556"/>
      <c r="C613" s="30"/>
      <c r="D613" s="549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</row>
    <row r="614">
      <c r="A614" s="30"/>
      <c r="B614" s="556"/>
      <c r="C614" s="30"/>
      <c r="D614" s="549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</row>
    <row r="615">
      <c r="A615" s="30"/>
      <c r="B615" s="556"/>
      <c r="C615" s="30"/>
      <c r="D615" s="549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</row>
    <row r="616">
      <c r="A616" s="30"/>
      <c r="B616" s="556"/>
      <c r="C616" s="30"/>
      <c r="D616" s="549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</row>
    <row r="617">
      <c r="A617" s="30"/>
      <c r="B617" s="556"/>
      <c r="C617" s="30"/>
      <c r="D617" s="549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</row>
    <row r="618">
      <c r="A618" s="30"/>
      <c r="B618" s="556"/>
      <c r="C618" s="30"/>
      <c r="D618" s="549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</row>
    <row r="619">
      <c r="A619" s="30"/>
      <c r="B619" s="556"/>
      <c r="C619" s="30"/>
      <c r="D619" s="549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</row>
    <row r="620">
      <c r="A620" s="30"/>
      <c r="B620" s="556"/>
      <c r="C620" s="30"/>
      <c r="D620" s="549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</row>
    <row r="621">
      <c r="A621" s="30"/>
      <c r="B621" s="556"/>
      <c r="C621" s="30"/>
      <c r="D621" s="549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</row>
    <row r="622">
      <c r="A622" s="30"/>
      <c r="B622" s="556"/>
      <c r="C622" s="30"/>
      <c r="D622" s="549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</row>
    <row r="623">
      <c r="A623" s="30"/>
      <c r="B623" s="556"/>
      <c r="C623" s="30"/>
      <c r="D623" s="549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</row>
    <row r="624">
      <c r="A624" s="30"/>
      <c r="B624" s="556"/>
      <c r="C624" s="30"/>
      <c r="D624" s="549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</row>
    <row r="625">
      <c r="A625" s="30"/>
      <c r="B625" s="556"/>
      <c r="C625" s="30"/>
      <c r="D625" s="549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</row>
    <row r="626">
      <c r="A626" s="30"/>
      <c r="B626" s="556"/>
      <c r="C626" s="30"/>
      <c r="D626" s="549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</row>
    <row r="627">
      <c r="A627" s="30"/>
      <c r="B627" s="556"/>
      <c r="C627" s="30"/>
      <c r="D627" s="549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</row>
    <row r="628">
      <c r="A628" s="30"/>
      <c r="B628" s="556"/>
      <c r="C628" s="30"/>
      <c r="D628" s="549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</row>
    <row r="629">
      <c r="A629" s="30"/>
      <c r="B629" s="556"/>
      <c r="C629" s="30"/>
      <c r="D629" s="549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</row>
    <row r="630">
      <c r="A630" s="30"/>
      <c r="B630" s="556"/>
      <c r="C630" s="30"/>
      <c r="D630" s="549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</row>
    <row r="631">
      <c r="A631" s="30"/>
      <c r="B631" s="556"/>
      <c r="C631" s="30"/>
      <c r="D631" s="549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</row>
    <row r="632">
      <c r="A632" s="30"/>
      <c r="B632" s="556"/>
      <c r="C632" s="30"/>
      <c r="D632" s="549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</row>
    <row r="633">
      <c r="A633" s="30"/>
      <c r="B633" s="556"/>
      <c r="C633" s="30"/>
      <c r="D633" s="549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</row>
    <row r="634">
      <c r="A634" s="30"/>
      <c r="B634" s="556"/>
      <c r="C634" s="30"/>
      <c r="D634" s="549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</row>
    <row r="635">
      <c r="A635" s="30"/>
      <c r="B635" s="556"/>
      <c r="C635" s="30"/>
      <c r="D635" s="549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</row>
    <row r="636">
      <c r="A636" s="30"/>
      <c r="B636" s="556"/>
      <c r="C636" s="30"/>
      <c r="D636" s="549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</row>
    <row r="637">
      <c r="A637" s="30"/>
      <c r="B637" s="556"/>
      <c r="C637" s="30"/>
      <c r="D637" s="549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</row>
    <row r="638">
      <c r="A638" s="30"/>
      <c r="B638" s="556"/>
      <c r="C638" s="30"/>
      <c r="D638" s="549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</row>
    <row r="639">
      <c r="A639" s="30"/>
      <c r="B639" s="556"/>
      <c r="C639" s="30"/>
      <c r="D639" s="549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</row>
    <row r="640">
      <c r="A640" s="30"/>
      <c r="B640" s="556"/>
      <c r="C640" s="30"/>
      <c r="D640" s="549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</row>
    <row r="641">
      <c r="A641" s="30"/>
      <c r="B641" s="556"/>
      <c r="C641" s="30"/>
      <c r="D641" s="549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</row>
    <row r="642">
      <c r="A642" s="30"/>
      <c r="B642" s="556"/>
      <c r="C642" s="30"/>
      <c r="D642" s="549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</row>
    <row r="643">
      <c r="A643" s="30"/>
      <c r="B643" s="556"/>
      <c r="C643" s="30"/>
      <c r="D643" s="549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</row>
    <row r="644">
      <c r="A644" s="30"/>
      <c r="B644" s="556"/>
      <c r="C644" s="30"/>
      <c r="D644" s="549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</row>
    <row r="645">
      <c r="A645" s="30"/>
      <c r="B645" s="556"/>
      <c r="C645" s="30"/>
      <c r="D645" s="549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</row>
    <row r="646">
      <c r="A646" s="30"/>
      <c r="B646" s="556"/>
      <c r="C646" s="30"/>
      <c r="D646" s="549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</row>
    <row r="647">
      <c r="A647" s="30"/>
      <c r="B647" s="556"/>
      <c r="C647" s="30"/>
      <c r="D647" s="549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</row>
    <row r="648">
      <c r="A648" s="30"/>
      <c r="B648" s="556"/>
      <c r="C648" s="30"/>
      <c r="D648" s="549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</row>
    <row r="649">
      <c r="A649" s="30"/>
      <c r="B649" s="556"/>
      <c r="C649" s="30"/>
      <c r="D649" s="549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</row>
    <row r="650">
      <c r="A650" s="30"/>
      <c r="B650" s="556"/>
      <c r="C650" s="30"/>
      <c r="D650" s="549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</row>
    <row r="651">
      <c r="A651" s="30"/>
      <c r="B651" s="556"/>
      <c r="C651" s="30"/>
      <c r="D651" s="549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</row>
    <row r="652">
      <c r="A652" s="30"/>
      <c r="B652" s="556"/>
      <c r="C652" s="30"/>
      <c r="D652" s="549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</row>
    <row r="653">
      <c r="A653" s="30"/>
      <c r="B653" s="556"/>
      <c r="C653" s="30"/>
      <c r="D653" s="549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</row>
    <row r="654">
      <c r="A654" s="30"/>
      <c r="B654" s="556"/>
      <c r="C654" s="30"/>
      <c r="D654" s="549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</row>
    <row r="655">
      <c r="A655" s="30"/>
      <c r="B655" s="556"/>
      <c r="C655" s="30"/>
      <c r="D655" s="549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</row>
    <row r="656">
      <c r="A656" s="30"/>
      <c r="B656" s="556"/>
      <c r="C656" s="30"/>
      <c r="D656" s="549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</row>
    <row r="657">
      <c r="A657" s="30"/>
      <c r="B657" s="556"/>
      <c r="C657" s="30"/>
      <c r="D657" s="549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</row>
    <row r="658">
      <c r="A658" s="30"/>
      <c r="B658" s="556"/>
      <c r="C658" s="30"/>
      <c r="D658" s="549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</row>
    <row r="659">
      <c r="A659" s="30"/>
      <c r="B659" s="556"/>
      <c r="C659" s="30"/>
      <c r="D659" s="549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</row>
    <row r="660">
      <c r="A660" s="30"/>
      <c r="B660" s="556"/>
      <c r="C660" s="30"/>
      <c r="D660" s="549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</row>
    <row r="661">
      <c r="A661" s="30"/>
      <c r="B661" s="556"/>
      <c r="C661" s="30"/>
      <c r="D661" s="549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</row>
    <row r="662">
      <c r="A662" s="30"/>
      <c r="B662" s="556"/>
      <c r="C662" s="30"/>
      <c r="D662" s="549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</row>
    <row r="663">
      <c r="A663" s="30"/>
      <c r="B663" s="556"/>
      <c r="C663" s="30"/>
      <c r="D663" s="549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</row>
    <row r="664">
      <c r="A664" s="30"/>
      <c r="B664" s="556"/>
      <c r="C664" s="30"/>
      <c r="D664" s="549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</row>
    <row r="665">
      <c r="A665" s="30"/>
      <c r="B665" s="556"/>
      <c r="C665" s="30"/>
      <c r="D665" s="549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</row>
    <row r="666">
      <c r="A666" s="30"/>
      <c r="B666" s="556"/>
      <c r="C666" s="30"/>
      <c r="D666" s="549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</row>
    <row r="667">
      <c r="A667" s="30"/>
      <c r="B667" s="556"/>
      <c r="C667" s="30"/>
      <c r="D667" s="549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</row>
    <row r="668">
      <c r="A668" s="30"/>
      <c r="B668" s="556"/>
      <c r="C668" s="30"/>
      <c r="D668" s="549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</row>
    <row r="669">
      <c r="A669" s="30"/>
      <c r="B669" s="556"/>
      <c r="C669" s="30"/>
      <c r="D669" s="549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</row>
    <row r="670">
      <c r="A670" s="30"/>
      <c r="B670" s="556"/>
      <c r="C670" s="30"/>
      <c r="D670" s="549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</row>
    <row r="671">
      <c r="A671" s="30"/>
      <c r="B671" s="556"/>
      <c r="C671" s="30"/>
      <c r="D671" s="549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</row>
    <row r="672">
      <c r="A672" s="30"/>
      <c r="B672" s="556"/>
      <c r="C672" s="30"/>
      <c r="D672" s="549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</row>
    <row r="673">
      <c r="A673" s="30"/>
      <c r="B673" s="556"/>
      <c r="C673" s="30"/>
      <c r="D673" s="549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</row>
    <row r="674">
      <c r="A674" s="30"/>
      <c r="B674" s="556"/>
      <c r="C674" s="30"/>
      <c r="D674" s="549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</row>
    <row r="675">
      <c r="A675" s="30"/>
      <c r="B675" s="556"/>
      <c r="C675" s="30"/>
      <c r="D675" s="549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</row>
    <row r="676">
      <c r="A676" s="30"/>
      <c r="B676" s="556"/>
      <c r="C676" s="30"/>
      <c r="D676" s="549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</row>
    <row r="677">
      <c r="A677" s="30"/>
      <c r="B677" s="556"/>
      <c r="C677" s="30"/>
      <c r="D677" s="549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</row>
    <row r="678">
      <c r="A678" s="30"/>
      <c r="B678" s="556"/>
      <c r="C678" s="30"/>
      <c r="D678" s="549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</row>
    <row r="679">
      <c r="A679" s="30"/>
      <c r="B679" s="556"/>
      <c r="C679" s="30"/>
      <c r="D679" s="549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</row>
    <row r="680">
      <c r="A680" s="30"/>
      <c r="B680" s="556"/>
      <c r="C680" s="30"/>
      <c r="D680" s="549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</row>
    <row r="681">
      <c r="A681" s="30"/>
      <c r="B681" s="556"/>
      <c r="C681" s="30"/>
      <c r="D681" s="549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</row>
    <row r="682">
      <c r="A682" s="30"/>
      <c r="B682" s="556"/>
      <c r="C682" s="30"/>
      <c r="D682" s="549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</row>
    <row r="683">
      <c r="A683" s="30"/>
      <c r="B683" s="556"/>
      <c r="C683" s="30"/>
      <c r="D683" s="549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</row>
    <row r="684">
      <c r="A684" s="30"/>
      <c r="B684" s="556"/>
      <c r="C684" s="30"/>
      <c r="D684" s="549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</row>
    <row r="685">
      <c r="A685" s="30"/>
      <c r="B685" s="556"/>
      <c r="C685" s="30"/>
      <c r="D685" s="549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</row>
    <row r="686">
      <c r="A686" s="30"/>
      <c r="B686" s="556"/>
      <c r="C686" s="30"/>
      <c r="D686" s="549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</row>
    <row r="687">
      <c r="A687" s="30"/>
      <c r="B687" s="556"/>
      <c r="C687" s="30"/>
      <c r="D687" s="549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</row>
    <row r="688">
      <c r="A688" s="30"/>
      <c r="B688" s="556"/>
      <c r="C688" s="30"/>
      <c r="D688" s="549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</row>
    <row r="689">
      <c r="A689" s="30"/>
      <c r="B689" s="556"/>
      <c r="C689" s="30"/>
      <c r="D689" s="549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</row>
    <row r="690">
      <c r="A690" s="30"/>
      <c r="B690" s="556"/>
      <c r="C690" s="30"/>
      <c r="D690" s="549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</row>
    <row r="691">
      <c r="A691" s="30"/>
      <c r="B691" s="556"/>
      <c r="C691" s="30"/>
      <c r="D691" s="549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</row>
    <row r="692">
      <c r="A692" s="30"/>
      <c r="B692" s="556"/>
      <c r="C692" s="30"/>
      <c r="D692" s="549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</row>
    <row r="693">
      <c r="A693" s="30"/>
      <c r="B693" s="556"/>
      <c r="C693" s="30"/>
      <c r="D693" s="549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</row>
    <row r="694">
      <c r="A694" s="30"/>
      <c r="B694" s="556"/>
      <c r="C694" s="30"/>
      <c r="D694" s="549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</row>
    <row r="695">
      <c r="A695" s="30"/>
      <c r="B695" s="556"/>
      <c r="C695" s="30"/>
      <c r="D695" s="549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</row>
    <row r="696">
      <c r="A696" s="30"/>
      <c r="B696" s="556"/>
      <c r="C696" s="30"/>
      <c r="D696" s="549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</row>
    <row r="697">
      <c r="A697" s="30"/>
      <c r="B697" s="556"/>
      <c r="C697" s="30"/>
      <c r="D697" s="549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</row>
    <row r="698">
      <c r="A698" s="30"/>
      <c r="B698" s="556"/>
      <c r="C698" s="30"/>
      <c r="D698" s="549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</row>
    <row r="699">
      <c r="A699" s="30"/>
      <c r="B699" s="556"/>
      <c r="C699" s="30"/>
      <c r="D699" s="549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</row>
    <row r="700">
      <c r="A700" s="30"/>
      <c r="B700" s="556"/>
      <c r="C700" s="30"/>
      <c r="D700" s="549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</row>
    <row r="701">
      <c r="A701" s="30"/>
      <c r="B701" s="556"/>
      <c r="C701" s="30"/>
      <c r="D701" s="549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</row>
    <row r="702">
      <c r="A702" s="30"/>
      <c r="B702" s="556"/>
      <c r="C702" s="30"/>
      <c r="D702" s="549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</row>
    <row r="703">
      <c r="A703" s="30"/>
      <c r="B703" s="556"/>
      <c r="C703" s="30"/>
      <c r="D703" s="549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</row>
    <row r="704">
      <c r="A704" s="30"/>
      <c r="B704" s="556"/>
      <c r="C704" s="30"/>
      <c r="D704" s="549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</row>
    <row r="705">
      <c r="A705" s="30"/>
      <c r="B705" s="556"/>
      <c r="C705" s="30"/>
      <c r="D705" s="549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</row>
    <row r="706">
      <c r="A706" s="30"/>
      <c r="B706" s="556"/>
      <c r="C706" s="30"/>
      <c r="D706" s="549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</row>
    <row r="707">
      <c r="A707" s="30"/>
      <c r="B707" s="556"/>
      <c r="C707" s="30"/>
      <c r="D707" s="549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</row>
    <row r="708">
      <c r="A708" s="30"/>
      <c r="B708" s="556"/>
      <c r="C708" s="30"/>
      <c r="D708" s="549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</row>
    <row r="709">
      <c r="A709" s="30"/>
      <c r="B709" s="556"/>
      <c r="C709" s="30"/>
      <c r="D709" s="549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</row>
    <row r="710">
      <c r="A710" s="30"/>
      <c r="B710" s="556"/>
      <c r="C710" s="30"/>
      <c r="D710" s="549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</row>
    <row r="711">
      <c r="A711" s="30"/>
      <c r="B711" s="556"/>
      <c r="C711" s="30"/>
      <c r="D711" s="549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</row>
    <row r="712">
      <c r="A712" s="30"/>
      <c r="B712" s="556"/>
      <c r="C712" s="30"/>
      <c r="D712" s="549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</row>
    <row r="713">
      <c r="A713" s="30"/>
      <c r="B713" s="556"/>
      <c r="C713" s="30"/>
      <c r="D713" s="549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</row>
    <row r="714">
      <c r="A714" s="30"/>
      <c r="B714" s="556"/>
      <c r="C714" s="30"/>
      <c r="D714" s="549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</row>
    <row r="715">
      <c r="A715" s="30"/>
      <c r="B715" s="556"/>
      <c r="C715" s="30"/>
      <c r="D715" s="549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</row>
    <row r="716">
      <c r="A716" s="30"/>
      <c r="B716" s="556"/>
      <c r="C716" s="30"/>
      <c r="D716" s="549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</row>
    <row r="717">
      <c r="A717" s="30"/>
      <c r="B717" s="556"/>
      <c r="C717" s="30"/>
      <c r="D717" s="549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</row>
    <row r="718">
      <c r="A718" s="30"/>
      <c r="B718" s="556"/>
      <c r="C718" s="30"/>
      <c r="D718" s="549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</row>
    <row r="719">
      <c r="A719" s="30"/>
      <c r="B719" s="556"/>
      <c r="C719" s="30"/>
      <c r="D719" s="549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</row>
    <row r="720">
      <c r="A720" s="30"/>
      <c r="B720" s="556"/>
      <c r="C720" s="30"/>
      <c r="D720" s="549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</row>
    <row r="721">
      <c r="A721" s="30"/>
      <c r="B721" s="556"/>
      <c r="C721" s="30"/>
      <c r="D721" s="549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</row>
    <row r="722">
      <c r="A722" s="30"/>
      <c r="B722" s="556"/>
      <c r="C722" s="30"/>
      <c r="D722" s="549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</row>
    <row r="723">
      <c r="A723" s="30"/>
      <c r="B723" s="556"/>
      <c r="C723" s="30"/>
      <c r="D723" s="549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</row>
    <row r="724">
      <c r="A724" s="30"/>
      <c r="B724" s="556"/>
      <c r="C724" s="30"/>
      <c r="D724" s="549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</row>
    <row r="725">
      <c r="A725" s="30"/>
      <c r="B725" s="556"/>
      <c r="C725" s="30"/>
      <c r="D725" s="549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</row>
    <row r="726">
      <c r="A726" s="30"/>
      <c r="B726" s="556"/>
      <c r="C726" s="30"/>
      <c r="D726" s="549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</row>
    <row r="727">
      <c r="A727" s="30"/>
      <c r="B727" s="556"/>
      <c r="C727" s="30"/>
      <c r="D727" s="549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</row>
    <row r="728">
      <c r="A728" s="30"/>
      <c r="B728" s="556"/>
      <c r="C728" s="30"/>
      <c r="D728" s="549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</row>
    <row r="729">
      <c r="A729" s="30"/>
      <c r="B729" s="556"/>
      <c r="C729" s="30"/>
      <c r="D729" s="549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</row>
    <row r="730">
      <c r="A730" s="30"/>
      <c r="B730" s="556"/>
      <c r="C730" s="30"/>
      <c r="D730" s="549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</row>
    <row r="731">
      <c r="A731" s="30"/>
      <c r="B731" s="556"/>
      <c r="C731" s="30"/>
      <c r="D731" s="549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</row>
    <row r="732">
      <c r="A732" s="30"/>
      <c r="B732" s="556"/>
      <c r="C732" s="30"/>
      <c r="D732" s="549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</row>
    <row r="733">
      <c r="A733" s="30"/>
      <c r="B733" s="556"/>
      <c r="C733" s="30"/>
      <c r="D733" s="549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</row>
    <row r="734">
      <c r="A734" s="30"/>
      <c r="B734" s="556"/>
      <c r="C734" s="30"/>
      <c r="D734" s="549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</row>
    <row r="735">
      <c r="A735" s="30"/>
      <c r="B735" s="556"/>
      <c r="C735" s="30"/>
      <c r="D735" s="549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</row>
    <row r="736">
      <c r="A736" s="30"/>
      <c r="B736" s="556"/>
      <c r="C736" s="30"/>
      <c r="D736" s="549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</row>
    <row r="737">
      <c r="A737" s="30"/>
      <c r="B737" s="556"/>
      <c r="C737" s="30"/>
      <c r="D737" s="549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</row>
    <row r="738">
      <c r="A738" s="30"/>
      <c r="B738" s="556"/>
      <c r="C738" s="30"/>
      <c r="D738" s="549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</row>
    <row r="739">
      <c r="A739" s="30"/>
      <c r="B739" s="556"/>
      <c r="C739" s="30"/>
      <c r="D739" s="549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</row>
    <row r="740">
      <c r="A740" s="30"/>
      <c r="B740" s="556"/>
      <c r="C740" s="30"/>
      <c r="D740" s="549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</row>
    <row r="741">
      <c r="A741" s="30"/>
      <c r="B741" s="556"/>
      <c r="C741" s="30"/>
      <c r="D741" s="549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</row>
    <row r="742">
      <c r="A742" s="30"/>
      <c r="B742" s="556"/>
      <c r="C742" s="30"/>
      <c r="D742" s="549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</row>
    <row r="743">
      <c r="A743" s="30"/>
      <c r="B743" s="556"/>
      <c r="C743" s="30"/>
      <c r="D743" s="549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</row>
    <row r="744">
      <c r="A744" s="30"/>
      <c r="B744" s="556"/>
      <c r="C744" s="30"/>
      <c r="D744" s="549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</row>
    <row r="745">
      <c r="A745" s="30"/>
      <c r="B745" s="556"/>
      <c r="C745" s="30"/>
      <c r="D745" s="549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</row>
    <row r="746">
      <c r="A746" s="30"/>
      <c r="B746" s="556"/>
      <c r="C746" s="30"/>
      <c r="D746" s="549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</row>
    <row r="747">
      <c r="A747" s="30"/>
      <c r="B747" s="556"/>
      <c r="C747" s="30"/>
      <c r="D747" s="549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</row>
    <row r="748">
      <c r="A748" s="30"/>
      <c r="B748" s="556"/>
      <c r="C748" s="30"/>
      <c r="D748" s="549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</row>
    <row r="749">
      <c r="A749" s="30"/>
      <c r="B749" s="556"/>
      <c r="C749" s="30"/>
      <c r="D749" s="549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</row>
    <row r="750">
      <c r="A750" s="30"/>
      <c r="B750" s="556"/>
      <c r="C750" s="30"/>
      <c r="D750" s="549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</row>
    <row r="751">
      <c r="A751" s="30"/>
      <c r="B751" s="556"/>
      <c r="C751" s="30"/>
      <c r="D751" s="549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</row>
    <row r="752">
      <c r="A752" s="30"/>
      <c r="B752" s="556"/>
      <c r="C752" s="30"/>
      <c r="D752" s="549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</row>
    <row r="753">
      <c r="A753" s="30"/>
      <c r="B753" s="556"/>
      <c r="C753" s="30"/>
      <c r="D753" s="549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</row>
    <row r="754">
      <c r="A754" s="30"/>
      <c r="B754" s="556"/>
      <c r="C754" s="30"/>
      <c r="D754" s="549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</row>
    <row r="755">
      <c r="A755" s="30"/>
      <c r="B755" s="556"/>
      <c r="C755" s="30"/>
      <c r="D755" s="549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</row>
    <row r="756">
      <c r="A756" s="30"/>
      <c r="B756" s="556"/>
      <c r="C756" s="30"/>
      <c r="D756" s="549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</row>
    <row r="757">
      <c r="A757" s="30"/>
      <c r="B757" s="556"/>
      <c r="C757" s="30"/>
      <c r="D757" s="549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</row>
    <row r="758">
      <c r="A758" s="30"/>
      <c r="B758" s="556"/>
      <c r="C758" s="30"/>
      <c r="D758" s="549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</row>
    <row r="759">
      <c r="A759" s="30"/>
      <c r="B759" s="556"/>
      <c r="C759" s="30"/>
      <c r="D759" s="549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</row>
    <row r="760">
      <c r="A760" s="30"/>
      <c r="B760" s="556"/>
      <c r="C760" s="30"/>
      <c r="D760" s="549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</row>
    <row r="761">
      <c r="A761" s="30"/>
      <c r="B761" s="556"/>
      <c r="C761" s="30"/>
      <c r="D761" s="549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</row>
    <row r="762">
      <c r="A762" s="30"/>
      <c r="B762" s="556"/>
      <c r="C762" s="30"/>
      <c r="D762" s="549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</row>
    <row r="763">
      <c r="A763" s="30"/>
      <c r="B763" s="556"/>
      <c r="C763" s="30"/>
      <c r="D763" s="549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</row>
    <row r="764">
      <c r="A764" s="30"/>
      <c r="B764" s="556"/>
      <c r="C764" s="30"/>
      <c r="D764" s="549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</row>
    <row r="765">
      <c r="A765" s="30"/>
      <c r="B765" s="556"/>
      <c r="C765" s="30"/>
      <c r="D765" s="549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</row>
    <row r="766">
      <c r="A766" s="30"/>
      <c r="B766" s="556"/>
      <c r="C766" s="30"/>
      <c r="D766" s="549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</row>
    <row r="767">
      <c r="A767" s="30"/>
      <c r="B767" s="556"/>
      <c r="C767" s="30"/>
      <c r="D767" s="549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</row>
    <row r="768">
      <c r="A768" s="30"/>
      <c r="B768" s="556"/>
      <c r="C768" s="30"/>
      <c r="D768" s="549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</row>
    <row r="769">
      <c r="A769" s="30"/>
      <c r="B769" s="556"/>
      <c r="C769" s="30"/>
      <c r="D769" s="549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</row>
    <row r="770">
      <c r="A770" s="30"/>
      <c r="B770" s="556"/>
      <c r="C770" s="30"/>
      <c r="D770" s="549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</row>
    <row r="771">
      <c r="A771" s="30"/>
      <c r="B771" s="556"/>
      <c r="C771" s="30"/>
      <c r="D771" s="549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</row>
    <row r="772">
      <c r="A772" s="30"/>
      <c r="B772" s="556"/>
      <c r="C772" s="30"/>
      <c r="D772" s="549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</row>
    <row r="773">
      <c r="A773" s="30"/>
      <c r="B773" s="556"/>
      <c r="C773" s="30"/>
      <c r="D773" s="549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</row>
    <row r="774">
      <c r="A774" s="30"/>
      <c r="B774" s="556"/>
      <c r="C774" s="30"/>
      <c r="D774" s="549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</row>
    <row r="775">
      <c r="A775" s="30"/>
      <c r="B775" s="556"/>
      <c r="C775" s="30"/>
      <c r="D775" s="549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</row>
    <row r="776">
      <c r="A776" s="30"/>
      <c r="B776" s="556"/>
      <c r="C776" s="30"/>
      <c r="D776" s="549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</row>
    <row r="777">
      <c r="A777" s="30"/>
      <c r="B777" s="556"/>
      <c r="C777" s="30"/>
      <c r="D777" s="549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</row>
    <row r="778">
      <c r="A778" s="30"/>
      <c r="B778" s="556"/>
      <c r="C778" s="30"/>
      <c r="D778" s="549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</row>
    <row r="779">
      <c r="A779" s="30"/>
      <c r="B779" s="556"/>
      <c r="C779" s="30"/>
      <c r="D779" s="549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</row>
    <row r="780">
      <c r="A780" s="30"/>
      <c r="B780" s="556"/>
      <c r="C780" s="30"/>
      <c r="D780" s="549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</row>
    <row r="781">
      <c r="A781" s="30"/>
      <c r="B781" s="556"/>
      <c r="C781" s="30"/>
      <c r="D781" s="549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</row>
    <row r="782">
      <c r="A782" s="30"/>
      <c r="B782" s="556"/>
      <c r="C782" s="30"/>
      <c r="D782" s="549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</row>
    <row r="783">
      <c r="A783" s="30"/>
      <c r="B783" s="556"/>
      <c r="C783" s="30"/>
      <c r="D783" s="549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</row>
    <row r="784">
      <c r="A784" s="30"/>
      <c r="B784" s="556"/>
      <c r="C784" s="30"/>
      <c r="D784" s="549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</row>
    <row r="785">
      <c r="A785" s="30"/>
      <c r="B785" s="556"/>
      <c r="C785" s="30"/>
      <c r="D785" s="549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</row>
    <row r="786">
      <c r="A786" s="30"/>
      <c r="B786" s="556"/>
      <c r="C786" s="30"/>
      <c r="D786" s="549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</row>
    <row r="787">
      <c r="A787" s="30"/>
      <c r="B787" s="556"/>
      <c r="C787" s="30"/>
      <c r="D787" s="549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</row>
    <row r="788">
      <c r="A788" s="30"/>
      <c r="B788" s="556"/>
      <c r="C788" s="30"/>
      <c r="D788" s="549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</row>
    <row r="789">
      <c r="A789" s="30"/>
      <c r="B789" s="556"/>
      <c r="C789" s="30"/>
      <c r="D789" s="549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</row>
    <row r="790">
      <c r="A790" s="30"/>
      <c r="B790" s="556"/>
      <c r="C790" s="30"/>
      <c r="D790" s="549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</row>
    <row r="791">
      <c r="A791" s="30"/>
      <c r="B791" s="556"/>
      <c r="C791" s="30"/>
      <c r="D791" s="549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</row>
    <row r="792">
      <c r="A792" s="30"/>
      <c r="B792" s="556"/>
      <c r="C792" s="30"/>
      <c r="D792" s="549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</row>
    <row r="793">
      <c r="A793" s="30"/>
      <c r="B793" s="556"/>
      <c r="C793" s="30"/>
      <c r="D793" s="549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</row>
    <row r="794">
      <c r="A794" s="30"/>
      <c r="B794" s="556"/>
      <c r="C794" s="30"/>
      <c r="D794" s="549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</row>
    <row r="795">
      <c r="A795" s="30"/>
      <c r="B795" s="556"/>
      <c r="C795" s="30"/>
      <c r="D795" s="549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</row>
    <row r="796">
      <c r="A796" s="30"/>
      <c r="B796" s="556"/>
      <c r="C796" s="30"/>
      <c r="D796" s="549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</row>
    <row r="797">
      <c r="A797" s="30"/>
      <c r="B797" s="556"/>
      <c r="C797" s="30"/>
      <c r="D797" s="549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</row>
    <row r="798">
      <c r="A798" s="30"/>
      <c r="B798" s="556"/>
      <c r="C798" s="30"/>
      <c r="D798" s="549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</row>
    <row r="799">
      <c r="A799" s="30"/>
      <c r="B799" s="556"/>
      <c r="C799" s="30"/>
      <c r="D799" s="549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</row>
    <row r="800">
      <c r="A800" s="30"/>
      <c r="B800" s="556"/>
      <c r="C800" s="30"/>
      <c r="D800" s="549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</row>
    <row r="801">
      <c r="A801" s="30"/>
      <c r="B801" s="556"/>
      <c r="C801" s="30"/>
      <c r="D801" s="549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</row>
    <row r="802">
      <c r="A802" s="30"/>
      <c r="B802" s="556"/>
      <c r="C802" s="30"/>
      <c r="D802" s="549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</row>
    <row r="803">
      <c r="A803" s="30"/>
      <c r="B803" s="556"/>
      <c r="C803" s="30"/>
      <c r="D803" s="549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</row>
    <row r="804">
      <c r="A804" s="30"/>
      <c r="B804" s="556"/>
      <c r="C804" s="30"/>
      <c r="D804" s="549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</row>
    <row r="805">
      <c r="A805" s="30"/>
      <c r="B805" s="556"/>
      <c r="C805" s="30"/>
      <c r="D805" s="549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</row>
    <row r="806">
      <c r="A806" s="30"/>
      <c r="B806" s="556"/>
      <c r="C806" s="30"/>
      <c r="D806" s="549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</row>
    <row r="807">
      <c r="A807" s="30"/>
      <c r="B807" s="556"/>
      <c r="C807" s="30"/>
      <c r="D807" s="549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</row>
    <row r="808">
      <c r="A808" s="30"/>
      <c r="B808" s="556"/>
      <c r="C808" s="30"/>
      <c r="D808" s="549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</row>
    <row r="809">
      <c r="A809" s="30"/>
      <c r="B809" s="556"/>
      <c r="C809" s="30"/>
      <c r="D809" s="549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</row>
    <row r="810">
      <c r="A810" s="30"/>
      <c r="B810" s="556"/>
      <c r="C810" s="30"/>
      <c r="D810" s="549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</row>
    <row r="811">
      <c r="A811" s="30"/>
      <c r="B811" s="556"/>
      <c r="C811" s="30"/>
      <c r="D811" s="549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</row>
    <row r="812">
      <c r="A812" s="30"/>
      <c r="B812" s="556"/>
      <c r="C812" s="30"/>
      <c r="D812" s="549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</row>
    <row r="813">
      <c r="A813" s="30"/>
      <c r="B813" s="556"/>
      <c r="C813" s="30"/>
      <c r="D813" s="549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</row>
    <row r="814">
      <c r="A814" s="30"/>
      <c r="B814" s="556"/>
      <c r="C814" s="30"/>
      <c r="D814" s="549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</row>
    <row r="815">
      <c r="A815" s="30"/>
      <c r="B815" s="556"/>
      <c r="C815" s="30"/>
      <c r="D815" s="549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</row>
    <row r="816">
      <c r="A816" s="30"/>
      <c r="B816" s="556"/>
      <c r="C816" s="30"/>
      <c r="D816" s="549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</row>
    <row r="817">
      <c r="A817" s="30"/>
      <c r="B817" s="556"/>
      <c r="C817" s="30"/>
      <c r="D817" s="549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</row>
    <row r="818">
      <c r="A818" s="30"/>
      <c r="B818" s="556"/>
      <c r="C818" s="30"/>
      <c r="D818" s="549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</row>
    <row r="819">
      <c r="A819" s="30"/>
      <c r="B819" s="556"/>
      <c r="C819" s="30"/>
      <c r="D819" s="549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</row>
    <row r="820">
      <c r="A820" s="30"/>
      <c r="B820" s="556"/>
      <c r="C820" s="30"/>
      <c r="D820" s="549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</row>
    <row r="821">
      <c r="A821" s="30"/>
      <c r="B821" s="556"/>
      <c r="C821" s="30"/>
      <c r="D821" s="549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</row>
    <row r="822">
      <c r="A822" s="30"/>
      <c r="B822" s="556"/>
      <c r="C822" s="30"/>
      <c r="D822" s="549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</row>
    <row r="823">
      <c r="A823" s="30"/>
      <c r="B823" s="556"/>
      <c r="C823" s="30"/>
      <c r="D823" s="549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</row>
    <row r="824">
      <c r="A824" s="30"/>
      <c r="B824" s="556"/>
      <c r="C824" s="30"/>
      <c r="D824" s="549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</row>
    <row r="825">
      <c r="A825" s="30"/>
      <c r="B825" s="556"/>
      <c r="C825" s="30"/>
      <c r="D825" s="549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</row>
    <row r="826">
      <c r="A826" s="30"/>
      <c r="B826" s="556"/>
      <c r="C826" s="30"/>
      <c r="D826" s="549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</row>
    <row r="827">
      <c r="A827" s="30"/>
      <c r="B827" s="556"/>
      <c r="C827" s="30"/>
      <c r="D827" s="549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</row>
    <row r="828">
      <c r="A828" s="30"/>
      <c r="B828" s="556"/>
      <c r="C828" s="30"/>
      <c r="D828" s="549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</row>
    <row r="829">
      <c r="A829" s="30"/>
      <c r="B829" s="556"/>
      <c r="C829" s="30"/>
      <c r="D829" s="549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</row>
    <row r="830">
      <c r="A830" s="30"/>
      <c r="B830" s="556"/>
      <c r="C830" s="30"/>
      <c r="D830" s="549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</row>
    <row r="831">
      <c r="A831" s="30"/>
      <c r="B831" s="556"/>
      <c r="C831" s="30"/>
      <c r="D831" s="549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</row>
    <row r="832">
      <c r="A832" s="30"/>
      <c r="B832" s="556"/>
      <c r="C832" s="30"/>
      <c r="D832" s="549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</row>
    <row r="833">
      <c r="A833" s="30"/>
      <c r="B833" s="556"/>
      <c r="C833" s="30"/>
      <c r="D833" s="549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</row>
    <row r="834">
      <c r="A834" s="30"/>
      <c r="B834" s="556"/>
      <c r="C834" s="30"/>
      <c r="D834" s="549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</row>
    <row r="835">
      <c r="A835" s="30"/>
      <c r="B835" s="556"/>
      <c r="C835" s="30"/>
      <c r="D835" s="549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</row>
    <row r="836">
      <c r="A836" s="30"/>
      <c r="B836" s="556"/>
      <c r="C836" s="30"/>
      <c r="D836" s="549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</row>
    <row r="837">
      <c r="A837" s="30"/>
      <c r="B837" s="556"/>
      <c r="C837" s="30"/>
      <c r="D837" s="549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</row>
    <row r="838">
      <c r="A838" s="30"/>
      <c r="B838" s="556"/>
      <c r="C838" s="30"/>
      <c r="D838" s="549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</row>
    <row r="839">
      <c r="A839" s="30"/>
      <c r="B839" s="556"/>
      <c r="C839" s="30"/>
      <c r="D839" s="549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</row>
    <row r="840">
      <c r="A840" s="30"/>
      <c r="B840" s="556"/>
      <c r="C840" s="30"/>
      <c r="D840" s="549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</row>
    <row r="841">
      <c r="A841" s="30"/>
      <c r="B841" s="556"/>
      <c r="C841" s="30"/>
      <c r="D841" s="549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</row>
    <row r="842">
      <c r="A842" s="30"/>
      <c r="B842" s="556"/>
      <c r="C842" s="30"/>
      <c r="D842" s="549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</row>
    <row r="843">
      <c r="A843" s="30"/>
      <c r="B843" s="556"/>
      <c r="C843" s="30"/>
      <c r="D843" s="549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</row>
    <row r="844">
      <c r="A844" s="30"/>
      <c r="B844" s="556"/>
      <c r="C844" s="30"/>
      <c r="D844" s="549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</row>
    <row r="845">
      <c r="A845" s="30"/>
      <c r="B845" s="556"/>
      <c r="C845" s="30"/>
      <c r="D845" s="549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</row>
    <row r="846">
      <c r="A846" s="30"/>
      <c r="B846" s="556"/>
      <c r="C846" s="30"/>
      <c r="D846" s="549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</row>
    <row r="847">
      <c r="A847" s="30"/>
      <c r="B847" s="556"/>
      <c r="C847" s="30"/>
      <c r="D847" s="549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</row>
    <row r="848">
      <c r="A848" s="30"/>
      <c r="B848" s="556"/>
      <c r="C848" s="30"/>
      <c r="D848" s="549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</row>
    <row r="849">
      <c r="A849" s="30"/>
      <c r="B849" s="556"/>
      <c r="C849" s="30"/>
      <c r="D849" s="549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</row>
    <row r="850">
      <c r="A850" s="30"/>
      <c r="B850" s="556"/>
      <c r="C850" s="30"/>
      <c r="D850" s="549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</row>
    <row r="851">
      <c r="A851" s="30"/>
      <c r="B851" s="556"/>
      <c r="C851" s="30"/>
      <c r="D851" s="549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</row>
    <row r="852">
      <c r="A852" s="30"/>
      <c r="B852" s="556"/>
      <c r="C852" s="30"/>
      <c r="D852" s="549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</row>
    <row r="853">
      <c r="A853" s="30"/>
      <c r="B853" s="556"/>
      <c r="C853" s="30"/>
      <c r="D853" s="549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</row>
    <row r="854">
      <c r="A854" s="30"/>
      <c r="B854" s="556"/>
      <c r="C854" s="30"/>
      <c r="D854" s="549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</row>
    <row r="855">
      <c r="A855" s="30"/>
      <c r="B855" s="556"/>
      <c r="C855" s="30"/>
      <c r="D855" s="549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</row>
    <row r="856">
      <c r="A856" s="30"/>
      <c r="B856" s="556"/>
      <c r="C856" s="30"/>
      <c r="D856" s="549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</row>
    <row r="857">
      <c r="A857" s="30"/>
      <c r="B857" s="556"/>
      <c r="C857" s="30"/>
      <c r="D857" s="549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</row>
    <row r="858">
      <c r="A858" s="30"/>
      <c r="B858" s="556"/>
      <c r="C858" s="30"/>
      <c r="D858" s="549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</row>
    <row r="859">
      <c r="A859" s="30"/>
      <c r="B859" s="556"/>
      <c r="C859" s="30"/>
      <c r="D859" s="549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</row>
    <row r="860">
      <c r="A860" s="30"/>
      <c r="B860" s="556"/>
      <c r="C860" s="30"/>
      <c r="D860" s="549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</row>
    <row r="861">
      <c r="A861" s="30"/>
      <c r="B861" s="556"/>
      <c r="C861" s="30"/>
      <c r="D861" s="549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</row>
    <row r="862">
      <c r="A862" s="30"/>
      <c r="B862" s="556"/>
      <c r="C862" s="30"/>
      <c r="D862" s="549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</row>
    <row r="863">
      <c r="A863" s="30"/>
      <c r="B863" s="556"/>
      <c r="C863" s="30"/>
      <c r="D863" s="549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</row>
    <row r="864">
      <c r="A864" s="30"/>
      <c r="B864" s="556"/>
      <c r="C864" s="30"/>
      <c r="D864" s="549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</row>
    <row r="865">
      <c r="A865" s="30"/>
      <c r="B865" s="556"/>
      <c r="C865" s="30"/>
      <c r="D865" s="549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</row>
    <row r="866">
      <c r="A866" s="30"/>
      <c r="B866" s="556"/>
      <c r="C866" s="30"/>
      <c r="D866" s="549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</row>
    <row r="867">
      <c r="A867" s="30"/>
      <c r="B867" s="556"/>
      <c r="C867" s="30"/>
      <c r="D867" s="549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</row>
    <row r="868">
      <c r="A868" s="30"/>
      <c r="B868" s="556"/>
      <c r="C868" s="30"/>
      <c r="D868" s="549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</row>
    <row r="869">
      <c r="A869" s="30"/>
      <c r="B869" s="556"/>
      <c r="C869" s="30"/>
      <c r="D869" s="549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</row>
    <row r="870">
      <c r="A870" s="30"/>
      <c r="B870" s="556"/>
      <c r="C870" s="30"/>
      <c r="D870" s="549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</row>
    <row r="871">
      <c r="A871" s="30"/>
      <c r="B871" s="556"/>
      <c r="C871" s="30"/>
      <c r="D871" s="549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</row>
    <row r="872">
      <c r="A872" s="30"/>
      <c r="B872" s="556"/>
      <c r="C872" s="30"/>
      <c r="D872" s="549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</row>
    <row r="873">
      <c r="A873" s="30"/>
      <c r="B873" s="556"/>
      <c r="C873" s="30"/>
      <c r="D873" s="549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</row>
    <row r="874">
      <c r="A874" s="30"/>
      <c r="B874" s="556"/>
      <c r="C874" s="30"/>
      <c r="D874" s="549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</row>
    <row r="875">
      <c r="A875" s="30"/>
      <c r="B875" s="556"/>
      <c r="C875" s="30"/>
      <c r="D875" s="549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</row>
    <row r="876">
      <c r="A876" s="30"/>
      <c r="B876" s="556"/>
      <c r="C876" s="30"/>
      <c r="D876" s="549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</row>
    <row r="877">
      <c r="A877" s="30"/>
      <c r="B877" s="556"/>
      <c r="C877" s="30"/>
      <c r="D877" s="549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</row>
    <row r="878">
      <c r="A878" s="30"/>
      <c r="B878" s="556"/>
      <c r="C878" s="30"/>
      <c r="D878" s="549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</row>
    <row r="879">
      <c r="A879" s="30"/>
      <c r="B879" s="556"/>
      <c r="C879" s="30"/>
      <c r="D879" s="549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</row>
    <row r="880">
      <c r="A880" s="30"/>
      <c r="B880" s="556"/>
      <c r="C880" s="30"/>
      <c r="D880" s="549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</row>
    <row r="881">
      <c r="A881" s="30"/>
      <c r="B881" s="556"/>
      <c r="C881" s="30"/>
      <c r="D881" s="549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</row>
    <row r="882">
      <c r="A882" s="30"/>
      <c r="B882" s="556"/>
      <c r="C882" s="30"/>
      <c r="D882" s="549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</row>
    <row r="883">
      <c r="A883" s="30"/>
      <c r="B883" s="556"/>
      <c r="C883" s="30"/>
      <c r="D883" s="549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</row>
    <row r="884">
      <c r="A884" s="30"/>
      <c r="B884" s="556"/>
      <c r="C884" s="30"/>
      <c r="D884" s="549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</row>
    <row r="885">
      <c r="A885" s="30"/>
      <c r="B885" s="556"/>
      <c r="C885" s="30"/>
      <c r="D885" s="549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</row>
    <row r="886">
      <c r="A886" s="30"/>
      <c r="B886" s="556"/>
      <c r="C886" s="30"/>
      <c r="D886" s="549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</row>
    <row r="887">
      <c r="A887" s="30"/>
      <c r="B887" s="556"/>
      <c r="C887" s="30"/>
      <c r="D887" s="549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</row>
    <row r="888">
      <c r="A888" s="30"/>
      <c r="B888" s="556"/>
      <c r="C888" s="30"/>
      <c r="D888" s="549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</row>
    <row r="889">
      <c r="A889" s="30"/>
      <c r="B889" s="556"/>
      <c r="C889" s="30"/>
      <c r="D889" s="549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</row>
    <row r="890">
      <c r="A890" s="30"/>
      <c r="B890" s="556"/>
      <c r="C890" s="30"/>
      <c r="D890" s="549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</row>
    <row r="891">
      <c r="A891" s="30"/>
      <c r="B891" s="556"/>
      <c r="C891" s="30"/>
      <c r="D891" s="549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</row>
    <row r="892">
      <c r="A892" s="30"/>
      <c r="B892" s="556"/>
      <c r="C892" s="30"/>
      <c r="D892" s="549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</row>
    <row r="893">
      <c r="A893" s="30"/>
      <c r="B893" s="556"/>
      <c r="C893" s="30"/>
      <c r="D893" s="549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</row>
    <row r="894">
      <c r="A894" s="30"/>
      <c r="B894" s="556"/>
      <c r="C894" s="30"/>
      <c r="D894" s="549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</row>
    <row r="895">
      <c r="A895" s="30"/>
      <c r="B895" s="556"/>
      <c r="C895" s="30"/>
      <c r="D895" s="549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</row>
    <row r="896">
      <c r="A896" s="30"/>
      <c r="B896" s="556"/>
      <c r="C896" s="30"/>
      <c r="D896" s="549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</row>
    <row r="897">
      <c r="A897" s="30"/>
      <c r="B897" s="556"/>
      <c r="C897" s="30"/>
      <c r="D897" s="549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</row>
    <row r="898">
      <c r="A898" s="30"/>
      <c r="B898" s="556"/>
      <c r="C898" s="30"/>
      <c r="D898" s="549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</row>
    <row r="899">
      <c r="A899" s="30"/>
      <c r="B899" s="556"/>
      <c r="C899" s="30"/>
      <c r="D899" s="549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</row>
    <row r="900">
      <c r="A900" s="30"/>
      <c r="B900" s="556"/>
      <c r="C900" s="30"/>
      <c r="D900" s="549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</row>
    <row r="901">
      <c r="A901" s="30"/>
      <c r="B901" s="556"/>
      <c r="C901" s="30"/>
      <c r="D901" s="549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</row>
    <row r="902">
      <c r="A902" s="30"/>
      <c r="B902" s="556"/>
      <c r="C902" s="30"/>
      <c r="D902" s="549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</row>
    <row r="903">
      <c r="A903" s="30"/>
      <c r="B903" s="556"/>
      <c r="C903" s="30"/>
      <c r="D903" s="549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</row>
    <row r="904">
      <c r="A904" s="30"/>
      <c r="B904" s="556"/>
      <c r="C904" s="30"/>
      <c r="D904" s="549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</row>
    <row r="905">
      <c r="A905" s="30"/>
      <c r="B905" s="556"/>
      <c r="C905" s="30"/>
      <c r="D905" s="549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</row>
    <row r="906">
      <c r="A906" s="30"/>
      <c r="B906" s="556"/>
      <c r="C906" s="30"/>
      <c r="D906" s="549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</row>
    <row r="907">
      <c r="A907" s="30"/>
      <c r="B907" s="556"/>
      <c r="C907" s="30"/>
      <c r="D907" s="549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</row>
    <row r="908">
      <c r="A908" s="30"/>
      <c r="B908" s="556"/>
      <c r="C908" s="30"/>
      <c r="D908" s="549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</row>
    <row r="909">
      <c r="A909" s="30"/>
      <c r="B909" s="556"/>
      <c r="C909" s="30"/>
      <c r="D909" s="549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</row>
    <row r="910">
      <c r="A910" s="30"/>
      <c r="B910" s="556"/>
      <c r="C910" s="30"/>
      <c r="D910" s="549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</row>
    <row r="911">
      <c r="A911" s="30"/>
      <c r="B911" s="556"/>
      <c r="C911" s="30"/>
      <c r="D911" s="549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</row>
    <row r="912">
      <c r="A912" s="30"/>
      <c r="B912" s="556"/>
      <c r="C912" s="30"/>
      <c r="D912" s="549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</row>
    <row r="913">
      <c r="A913" s="30"/>
      <c r="B913" s="556"/>
      <c r="C913" s="30"/>
      <c r="D913" s="549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</row>
    <row r="914">
      <c r="A914" s="30"/>
      <c r="B914" s="556"/>
      <c r="C914" s="30"/>
      <c r="D914" s="549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</row>
    <row r="915">
      <c r="A915" s="30"/>
      <c r="B915" s="556"/>
      <c r="C915" s="30"/>
      <c r="D915" s="549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</row>
    <row r="916">
      <c r="A916" s="30"/>
      <c r="B916" s="556"/>
      <c r="C916" s="30"/>
      <c r="D916" s="549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</row>
    <row r="917">
      <c r="A917" s="30"/>
      <c r="B917" s="556"/>
      <c r="C917" s="30"/>
      <c r="D917" s="549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</row>
    <row r="918">
      <c r="A918" s="30"/>
      <c r="B918" s="556"/>
      <c r="C918" s="30"/>
      <c r="D918" s="549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</row>
    <row r="919">
      <c r="A919" s="30"/>
      <c r="B919" s="556"/>
      <c r="C919" s="30"/>
      <c r="D919" s="549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</row>
    <row r="920">
      <c r="A920" s="30"/>
      <c r="B920" s="556"/>
      <c r="C920" s="30"/>
      <c r="D920" s="549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</row>
    <row r="921">
      <c r="A921" s="30"/>
      <c r="B921" s="556"/>
      <c r="C921" s="30"/>
      <c r="D921" s="549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</row>
    <row r="922">
      <c r="A922" s="30"/>
      <c r="B922" s="556"/>
      <c r="C922" s="30"/>
      <c r="D922" s="549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</row>
    <row r="923">
      <c r="A923" s="30"/>
      <c r="B923" s="556"/>
      <c r="C923" s="30"/>
      <c r="D923" s="549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</row>
    <row r="924">
      <c r="A924" s="30"/>
      <c r="B924" s="556"/>
      <c r="C924" s="30"/>
      <c r="D924" s="549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</row>
    <row r="925">
      <c r="A925" s="30"/>
      <c r="B925" s="556"/>
      <c r="C925" s="30"/>
      <c r="D925" s="549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</row>
    <row r="926">
      <c r="A926" s="30"/>
      <c r="B926" s="556"/>
      <c r="C926" s="30"/>
      <c r="D926" s="549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</row>
    <row r="927">
      <c r="A927" s="30"/>
      <c r="B927" s="556"/>
      <c r="C927" s="30"/>
      <c r="D927" s="549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</row>
    <row r="928">
      <c r="A928" s="30"/>
      <c r="B928" s="556"/>
      <c r="C928" s="30"/>
      <c r="D928" s="549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</row>
    <row r="929">
      <c r="A929" s="30"/>
      <c r="B929" s="556"/>
      <c r="C929" s="30"/>
      <c r="D929" s="549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</row>
    <row r="930">
      <c r="A930" s="30"/>
      <c r="B930" s="556"/>
      <c r="C930" s="30"/>
      <c r="D930" s="549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</row>
    <row r="931">
      <c r="A931" s="30"/>
      <c r="B931" s="556"/>
      <c r="C931" s="30"/>
      <c r="D931" s="549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</row>
    <row r="932">
      <c r="A932" s="30"/>
      <c r="B932" s="556"/>
      <c r="C932" s="30"/>
      <c r="D932" s="549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</row>
    <row r="933">
      <c r="A933" s="30"/>
      <c r="B933" s="556"/>
      <c r="C933" s="30"/>
      <c r="D933" s="549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</row>
    <row r="934">
      <c r="A934" s="30"/>
      <c r="B934" s="556"/>
      <c r="C934" s="30"/>
      <c r="D934" s="549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</row>
    <row r="935">
      <c r="A935" s="30"/>
      <c r="B935" s="556"/>
      <c r="C935" s="30"/>
      <c r="D935" s="549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</row>
    <row r="936">
      <c r="A936" s="30"/>
      <c r="B936" s="556"/>
      <c r="C936" s="30"/>
      <c r="D936" s="549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</row>
    <row r="937">
      <c r="A937" s="30"/>
      <c r="B937" s="556"/>
      <c r="C937" s="30"/>
      <c r="D937" s="549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</row>
    <row r="938">
      <c r="A938" s="30"/>
      <c r="B938" s="556"/>
      <c r="C938" s="30"/>
      <c r="D938" s="549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</row>
    <row r="939">
      <c r="A939" s="30"/>
      <c r="B939" s="556"/>
      <c r="C939" s="30"/>
      <c r="D939" s="549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</row>
    <row r="940">
      <c r="A940" s="30"/>
      <c r="B940" s="556"/>
      <c r="C940" s="30"/>
      <c r="D940" s="549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</row>
    <row r="941">
      <c r="A941" s="30"/>
      <c r="B941" s="556"/>
      <c r="C941" s="30"/>
      <c r="D941" s="549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</row>
    <row r="942">
      <c r="A942" s="30"/>
      <c r="B942" s="556"/>
      <c r="C942" s="30"/>
      <c r="D942" s="549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</row>
    <row r="943">
      <c r="A943" s="30"/>
      <c r="B943" s="556"/>
      <c r="C943" s="30"/>
      <c r="D943" s="549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</row>
    <row r="944">
      <c r="A944" s="30"/>
      <c r="B944" s="556"/>
      <c r="C944" s="30"/>
      <c r="D944" s="549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</row>
    <row r="945">
      <c r="A945" s="30"/>
      <c r="B945" s="556"/>
      <c r="C945" s="30"/>
      <c r="D945" s="549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</row>
    <row r="946">
      <c r="A946" s="30"/>
      <c r="B946" s="556"/>
      <c r="C946" s="30"/>
      <c r="D946" s="549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</row>
    <row r="947">
      <c r="A947" s="30"/>
      <c r="B947" s="556"/>
      <c r="C947" s="30"/>
      <c r="D947" s="549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</row>
    <row r="948">
      <c r="A948" s="30"/>
      <c r="B948" s="556"/>
      <c r="C948" s="30"/>
      <c r="D948" s="549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</row>
    <row r="949">
      <c r="A949" s="30"/>
      <c r="B949" s="556"/>
      <c r="C949" s="30"/>
      <c r="D949" s="549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</row>
    <row r="950">
      <c r="A950" s="30"/>
      <c r="B950" s="556"/>
      <c r="C950" s="30"/>
      <c r="D950" s="549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</row>
    <row r="951">
      <c r="A951" s="30"/>
      <c r="B951" s="556"/>
      <c r="C951" s="30"/>
      <c r="D951" s="549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</row>
    <row r="952">
      <c r="A952" s="30"/>
      <c r="B952" s="556"/>
      <c r="C952" s="30"/>
      <c r="D952" s="549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</row>
    <row r="953">
      <c r="A953" s="30"/>
      <c r="B953" s="556"/>
      <c r="C953" s="30"/>
      <c r="D953" s="549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</row>
    <row r="954">
      <c r="A954" s="30"/>
      <c r="B954" s="556"/>
      <c r="C954" s="30"/>
      <c r="D954" s="549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</row>
    <row r="955">
      <c r="A955" s="30"/>
      <c r="B955" s="556"/>
      <c r="C955" s="30"/>
      <c r="D955" s="549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</row>
    <row r="956">
      <c r="A956" s="30"/>
      <c r="B956" s="556"/>
      <c r="C956" s="30"/>
      <c r="D956" s="549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</row>
    <row r="957">
      <c r="A957" s="30"/>
      <c r="B957" s="556"/>
      <c r="C957" s="30"/>
      <c r="D957" s="549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</row>
    <row r="958">
      <c r="A958" s="30"/>
      <c r="B958" s="556"/>
      <c r="C958" s="30"/>
      <c r="D958" s="549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</row>
    <row r="959">
      <c r="A959" s="30"/>
      <c r="B959" s="556"/>
      <c r="C959" s="30"/>
      <c r="D959" s="549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</row>
    <row r="960">
      <c r="A960" s="30"/>
      <c r="B960" s="556"/>
      <c r="C960" s="30"/>
      <c r="D960" s="549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</row>
    <row r="961">
      <c r="A961" s="30"/>
      <c r="B961" s="556"/>
      <c r="C961" s="30"/>
      <c r="D961" s="549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</row>
    <row r="962">
      <c r="A962" s="30"/>
      <c r="B962" s="556"/>
      <c r="C962" s="30"/>
      <c r="D962" s="549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</row>
    <row r="963">
      <c r="A963" s="30"/>
      <c r="B963" s="556"/>
      <c r="C963" s="30"/>
      <c r="D963" s="549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</row>
    <row r="964">
      <c r="A964" s="30"/>
      <c r="B964" s="556"/>
      <c r="C964" s="30"/>
      <c r="D964" s="549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</row>
    <row r="965">
      <c r="A965" s="30"/>
      <c r="B965" s="556"/>
      <c r="C965" s="30"/>
      <c r="D965" s="549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</row>
    <row r="966">
      <c r="A966" s="30"/>
      <c r="B966" s="556"/>
      <c r="C966" s="30"/>
      <c r="D966" s="549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</row>
    <row r="967">
      <c r="A967" s="30"/>
      <c r="B967" s="556"/>
      <c r="C967" s="30"/>
      <c r="D967" s="549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</row>
    <row r="968">
      <c r="A968" s="30"/>
      <c r="B968" s="556"/>
      <c r="C968" s="30"/>
      <c r="D968" s="549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</row>
    <row r="969">
      <c r="A969" s="30"/>
      <c r="B969" s="556"/>
      <c r="C969" s="30"/>
      <c r="D969" s="549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</row>
    <row r="970">
      <c r="A970" s="30"/>
      <c r="B970" s="556"/>
      <c r="C970" s="30"/>
      <c r="D970" s="549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</row>
    <row r="971">
      <c r="A971" s="30"/>
      <c r="B971" s="556"/>
      <c r="C971" s="30"/>
      <c r="D971" s="549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</row>
    <row r="972">
      <c r="A972" s="30"/>
      <c r="B972" s="556"/>
      <c r="C972" s="30"/>
      <c r="D972" s="549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</row>
    <row r="973">
      <c r="A973" s="30"/>
      <c r="B973" s="556"/>
      <c r="C973" s="30"/>
      <c r="D973" s="549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</row>
    <row r="974">
      <c r="A974" s="30"/>
      <c r="B974" s="556"/>
      <c r="C974" s="30"/>
      <c r="D974" s="549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</row>
    <row r="975">
      <c r="A975" s="30"/>
      <c r="B975" s="556"/>
      <c r="C975" s="30"/>
      <c r="D975" s="549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</row>
    <row r="976">
      <c r="A976" s="30"/>
      <c r="B976" s="556"/>
      <c r="C976" s="30"/>
      <c r="D976" s="549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</row>
    <row r="977">
      <c r="A977" s="30"/>
      <c r="B977" s="556"/>
      <c r="C977" s="30"/>
      <c r="D977" s="549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</row>
    <row r="978">
      <c r="A978" s="30"/>
      <c r="B978" s="556"/>
      <c r="C978" s="30"/>
      <c r="D978" s="549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</row>
    <row r="979">
      <c r="A979" s="30"/>
      <c r="B979" s="556"/>
      <c r="C979" s="30"/>
      <c r="D979" s="549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</row>
    <row r="980">
      <c r="A980" s="30"/>
      <c r="B980" s="556"/>
      <c r="C980" s="30"/>
      <c r="D980" s="549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</row>
    <row r="981">
      <c r="A981" s="30"/>
      <c r="B981" s="556"/>
      <c r="C981" s="30"/>
      <c r="D981" s="549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</row>
    <row r="982">
      <c r="A982" s="30"/>
      <c r="B982" s="556"/>
      <c r="C982" s="30"/>
      <c r="D982" s="549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</row>
    <row r="983">
      <c r="A983" s="30"/>
      <c r="B983" s="556"/>
      <c r="C983" s="30"/>
      <c r="D983" s="549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</row>
    <row r="984">
      <c r="A984" s="30"/>
      <c r="B984" s="556"/>
      <c r="C984" s="30"/>
      <c r="D984" s="549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</row>
    <row r="985">
      <c r="A985" s="30"/>
      <c r="B985" s="556"/>
      <c r="C985" s="30"/>
      <c r="D985" s="549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</row>
    <row r="986">
      <c r="A986" s="30"/>
      <c r="B986" s="556"/>
      <c r="C986" s="30"/>
      <c r="D986" s="549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</row>
    <row r="987">
      <c r="A987" s="30"/>
      <c r="B987" s="556"/>
      <c r="C987" s="30"/>
      <c r="D987" s="549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</row>
    <row r="988">
      <c r="A988" s="30"/>
      <c r="B988" s="556"/>
      <c r="C988" s="30"/>
      <c r="D988" s="549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</row>
    <row r="989">
      <c r="A989" s="30"/>
      <c r="B989" s="556"/>
      <c r="C989" s="30"/>
      <c r="D989" s="549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</row>
    <row r="990">
      <c r="A990" s="30"/>
      <c r="B990" s="556"/>
      <c r="C990" s="30"/>
      <c r="D990" s="549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</row>
    <row r="991">
      <c r="A991" s="30"/>
      <c r="B991" s="556"/>
      <c r="C991" s="30"/>
      <c r="D991" s="549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</row>
    <row r="992">
      <c r="A992" s="30"/>
      <c r="B992" s="556"/>
      <c r="C992" s="30"/>
      <c r="D992" s="549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</row>
    <row r="993">
      <c r="A993" s="30"/>
      <c r="B993" s="556"/>
      <c r="C993" s="30"/>
      <c r="D993" s="549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</row>
    <row r="994">
      <c r="A994" s="30"/>
      <c r="B994" s="556"/>
      <c r="C994" s="30"/>
      <c r="D994" s="549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</row>
    <row r="995">
      <c r="A995" s="30"/>
      <c r="B995" s="556"/>
      <c r="C995" s="30"/>
      <c r="D995" s="549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</row>
  </sheetData>
  <autoFilter ref="$A$1:$C$9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8.13"/>
    <col customWidth="1" min="2" max="2" width="21.75"/>
    <col customWidth="1" min="3" max="3" width="20.0"/>
    <col customWidth="1" min="4" max="4" width="21.88"/>
    <col customWidth="1" min="5" max="5" width="26.0"/>
    <col customWidth="1" min="6" max="6" width="24.75"/>
    <col customWidth="1" min="7" max="8" width="19.25"/>
    <col customWidth="1" min="9" max="9" width="7.38"/>
  </cols>
  <sheetData>
    <row r="1">
      <c r="A1" s="570"/>
      <c r="B1" s="571"/>
      <c r="C1" s="572"/>
      <c r="D1" s="572"/>
      <c r="E1" s="572"/>
      <c r="F1" s="572"/>
      <c r="G1" s="572"/>
      <c r="H1" s="573"/>
      <c r="I1" s="411"/>
    </row>
    <row r="2" hidden="1">
      <c r="A2" s="570">
        <v>46128.0</v>
      </c>
      <c r="B2" s="571"/>
      <c r="C2" s="572"/>
      <c r="D2" s="572"/>
      <c r="E2" s="572"/>
      <c r="F2" s="572"/>
      <c r="G2" s="572"/>
      <c r="H2" s="573"/>
      <c r="I2" s="411"/>
    </row>
    <row r="3" hidden="1">
      <c r="A3" s="574">
        <v>0.3333333333333333</v>
      </c>
      <c r="B3" s="63" t="s">
        <v>199</v>
      </c>
      <c r="C3" s="572"/>
      <c r="D3" s="572"/>
      <c r="E3" s="56"/>
      <c r="F3" s="572"/>
      <c r="G3" s="572"/>
      <c r="H3" s="573"/>
      <c r="I3" s="411"/>
    </row>
    <row r="4" hidden="1">
      <c r="A4" s="574">
        <v>0.3541666666666667</v>
      </c>
      <c r="B4" s="63" t="s">
        <v>200</v>
      </c>
      <c r="C4" s="572"/>
      <c r="D4" s="572"/>
      <c r="E4" s="575"/>
      <c r="F4" s="572"/>
      <c r="G4" s="572"/>
      <c r="H4" s="573"/>
      <c r="I4" s="411"/>
    </row>
    <row r="5" hidden="1">
      <c r="A5" s="576">
        <v>0.375</v>
      </c>
      <c r="B5" s="577"/>
      <c r="C5" s="572"/>
      <c r="D5" s="572"/>
      <c r="E5" s="56"/>
      <c r="F5" s="572"/>
      <c r="G5" s="572"/>
      <c r="H5" s="573"/>
      <c r="I5" s="411"/>
    </row>
    <row r="6" hidden="1">
      <c r="A6" s="574">
        <v>0.3958333333333333</v>
      </c>
      <c r="B6" s="63" t="s">
        <v>201</v>
      </c>
      <c r="C6" s="572"/>
      <c r="D6" s="572"/>
      <c r="E6" s="575"/>
      <c r="F6" s="572"/>
      <c r="G6" s="572"/>
      <c r="H6" s="573"/>
      <c r="I6" s="411"/>
    </row>
    <row r="7" hidden="1">
      <c r="A7" s="576">
        <v>0.4166666666666667</v>
      </c>
      <c r="B7" s="63" t="s">
        <v>202</v>
      </c>
      <c r="C7" s="572"/>
      <c r="D7" s="572"/>
      <c r="E7" s="56"/>
      <c r="F7" s="572"/>
      <c r="G7" s="572"/>
      <c r="H7" s="573"/>
      <c r="I7" s="411"/>
    </row>
    <row r="8" hidden="1">
      <c r="A8" s="574">
        <v>0.4375</v>
      </c>
      <c r="B8" s="63" t="s">
        <v>203</v>
      </c>
      <c r="C8" s="572"/>
      <c r="D8" s="572"/>
      <c r="E8" s="575"/>
      <c r="F8" s="572"/>
      <c r="G8" s="572"/>
      <c r="H8" s="573"/>
      <c r="I8" s="411"/>
    </row>
    <row r="9" hidden="1">
      <c r="A9" s="574">
        <v>0.4583333333333333</v>
      </c>
      <c r="B9" s="63" t="s">
        <v>204</v>
      </c>
      <c r="C9" s="572"/>
      <c r="D9" s="572"/>
      <c r="E9" s="56"/>
      <c r="F9" s="572"/>
      <c r="G9" s="572"/>
      <c r="H9" s="573"/>
      <c r="I9" s="411"/>
    </row>
    <row r="10" hidden="1">
      <c r="A10" s="574">
        <v>0.4791666666666667</v>
      </c>
      <c r="B10" s="63" t="s">
        <v>205</v>
      </c>
      <c r="C10" s="572"/>
      <c r="D10" s="572"/>
      <c r="E10" s="575"/>
      <c r="F10" s="572"/>
      <c r="G10" s="572"/>
      <c r="H10" s="573"/>
      <c r="I10" s="411"/>
    </row>
    <row r="11" hidden="1">
      <c r="A11" s="576">
        <v>0.5</v>
      </c>
      <c r="B11" s="63" t="s">
        <v>206</v>
      </c>
      <c r="C11" s="572"/>
      <c r="D11" s="572"/>
      <c r="E11" s="56"/>
      <c r="F11" s="572"/>
      <c r="G11" s="572"/>
      <c r="H11" s="573"/>
      <c r="I11" s="411"/>
    </row>
    <row r="12" hidden="1">
      <c r="A12" s="574">
        <v>0.5208333333333334</v>
      </c>
      <c r="B12" s="63" t="s">
        <v>207</v>
      </c>
      <c r="C12" s="572"/>
      <c r="D12" s="572"/>
      <c r="E12" s="575"/>
      <c r="F12" s="572"/>
      <c r="G12" s="572"/>
      <c r="H12" s="573"/>
      <c r="I12" s="411"/>
    </row>
    <row r="13" hidden="1">
      <c r="A13" s="576">
        <v>0.5416666666666666</v>
      </c>
      <c r="B13" s="63" t="s">
        <v>208</v>
      </c>
      <c r="C13" s="572"/>
      <c r="D13" s="572"/>
      <c r="E13" s="56"/>
      <c r="F13" s="572"/>
      <c r="G13" s="572"/>
      <c r="H13" s="573"/>
      <c r="I13" s="411"/>
    </row>
    <row r="14" hidden="1">
      <c r="A14" s="574">
        <v>0.5625</v>
      </c>
      <c r="B14" s="63" t="s">
        <v>209</v>
      </c>
      <c r="C14" s="572"/>
      <c r="D14" s="572"/>
      <c r="E14" s="575"/>
      <c r="F14" s="572"/>
      <c r="G14" s="572"/>
      <c r="H14" s="573"/>
      <c r="I14" s="411"/>
    </row>
    <row r="15" hidden="1">
      <c r="A15" s="574">
        <v>0.5833333333333334</v>
      </c>
      <c r="B15" s="571"/>
      <c r="C15" s="572"/>
      <c r="D15" s="572"/>
      <c r="E15" s="56"/>
      <c r="F15" s="572"/>
      <c r="G15" s="572"/>
      <c r="H15" s="573"/>
      <c r="I15" s="411"/>
    </row>
    <row r="16" hidden="1">
      <c r="A16" s="574">
        <v>0.6041666666666666</v>
      </c>
      <c r="B16" s="63" t="s">
        <v>210</v>
      </c>
      <c r="C16" s="572"/>
      <c r="D16" s="572"/>
      <c r="E16" s="575"/>
      <c r="F16" s="572"/>
      <c r="G16" s="572"/>
      <c r="H16" s="573"/>
      <c r="I16" s="411"/>
    </row>
    <row r="17" hidden="1">
      <c r="A17" s="576">
        <v>0.625</v>
      </c>
      <c r="B17" s="63" t="s">
        <v>211</v>
      </c>
      <c r="C17" s="572"/>
      <c r="D17" s="572"/>
      <c r="E17" s="56"/>
      <c r="F17" s="572"/>
      <c r="G17" s="572"/>
      <c r="H17" s="573"/>
      <c r="I17" s="411"/>
    </row>
    <row r="18" hidden="1">
      <c r="A18" s="574">
        <v>0.6458333333333334</v>
      </c>
      <c r="B18" s="63" t="s">
        <v>212</v>
      </c>
      <c r="C18" s="572"/>
      <c r="D18" s="572"/>
      <c r="E18" s="575"/>
      <c r="F18" s="572"/>
      <c r="G18" s="572"/>
      <c r="H18" s="573"/>
      <c r="I18" s="411"/>
    </row>
    <row r="19" hidden="1">
      <c r="A19" s="576">
        <v>0.6666666666666666</v>
      </c>
      <c r="B19" s="63" t="s">
        <v>213</v>
      </c>
      <c r="C19" s="572"/>
      <c r="D19" s="572"/>
      <c r="E19" s="56"/>
      <c r="F19" s="572"/>
      <c r="G19" s="572"/>
      <c r="H19" s="573"/>
      <c r="I19" s="411"/>
    </row>
    <row r="20" hidden="1">
      <c r="A20" s="574">
        <v>0.6875</v>
      </c>
      <c r="B20" s="63" t="s">
        <v>214</v>
      </c>
      <c r="C20" s="572"/>
      <c r="D20" s="572"/>
      <c r="E20" s="575"/>
      <c r="F20" s="572"/>
      <c r="G20" s="572"/>
      <c r="H20" s="573"/>
      <c r="I20" s="411"/>
    </row>
    <row r="21" hidden="1">
      <c r="A21" s="574">
        <v>0.7083333333333334</v>
      </c>
      <c r="B21" s="63"/>
      <c r="C21" s="572"/>
      <c r="D21" s="572"/>
      <c r="E21" s="56"/>
      <c r="F21" s="572"/>
      <c r="G21" s="572"/>
      <c r="H21" s="573"/>
      <c r="I21" s="411"/>
    </row>
    <row r="22" hidden="1">
      <c r="A22" s="576">
        <v>0.7291666666666666</v>
      </c>
      <c r="B22" s="63" t="s">
        <v>215</v>
      </c>
      <c r="C22" s="572"/>
      <c r="D22" s="572"/>
      <c r="E22" s="575"/>
      <c r="F22" s="572"/>
      <c r="G22" s="572"/>
      <c r="H22" s="573"/>
      <c r="I22" s="411"/>
    </row>
    <row r="23" hidden="1">
      <c r="A23" s="574">
        <v>0.75</v>
      </c>
      <c r="B23" s="571"/>
      <c r="C23" s="572"/>
      <c r="D23" s="572"/>
      <c r="E23" s="56"/>
      <c r="F23" s="572"/>
      <c r="G23" s="572"/>
      <c r="H23" s="573"/>
      <c r="I23" s="411"/>
    </row>
    <row r="24" hidden="1">
      <c r="A24" s="576">
        <v>0.7708333333333334</v>
      </c>
      <c r="B24" s="63" t="s">
        <v>216</v>
      </c>
      <c r="C24" s="572"/>
      <c r="D24" s="572"/>
      <c r="E24" s="572"/>
      <c r="F24" s="572"/>
      <c r="G24" s="572"/>
      <c r="H24" s="573"/>
      <c r="I24" s="411"/>
    </row>
    <row r="25" hidden="1">
      <c r="A25" s="574">
        <v>0.7916666666666666</v>
      </c>
      <c r="B25" s="63" t="s">
        <v>217</v>
      </c>
      <c r="C25" s="572"/>
      <c r="D25" s="572"/>
      <c r="E25" s="572"/>
      <c r="F25" s="572"/>
      <c r="G25" s="572"/>
      <c r="H25" s="573"/>
      <c r="I25" s="411"/>
    </row>
    <row r="26" hidden="1">
      <c r="A26" s="574">
        <v>0.8125</v>
      </c>
      <c r="B26" s="63" t="s">
        <v>218</v>
      </c>
      <c r="C26" s="572"/>
      <c r="D26" s="572"/>
      <c r="E26" s="572"/>
      <c r="F26" s="572"/>
      <c r="G26" s="572"/>
      <c r="H26" s="573"/>
      <c r="I26" s="411"/>
    </row>
    <row r="27" hidden="1">
      <c r="A27" s="574">
        <v>0.8333333333333334</v>
      </c>
      <c r="B27" s="571"/>
      <c r="C27" s="572"/>
      <c r="D27" s="572"/>
      <c r="E27" s="572"/>
      <c r="F27" s="572"/>
      <c r="G27" s="572"/>
      <c r="H27" s="573"/>
      <c r="I27" s="411"/>
    </row>
    <row r="28" hidden="1">
      <c r="A28" s="576">
        <v>0.8541666666666666</v>
      </c>
      <c r="B28" s="63" t="s">
        <v>219</v>
      </c>
      <c r="C28" s="572"/>
      <c r="D28" s="572"/>
      <c r="E28" s="572"/>
      <c r="F28" s="572"/>
      <c r="G28" s="572"/>
      <c r="H28" s="573"/>
      <c r="I28" s="411"/>
    </row>
    <row r="29" hidden="1">
      <c r="A29" s="574">
        <v>0.875</v>
      </c>
      <c r="B29" s="571"/>
      <c r="C29" s="572"/>
      <c r="D29" s="572"/>
      <c r="E29" s="572"/>
      <c r="F29" s="572"/>
      <c r="G29" s="572"/>
      <c r="H29" s="573"/>
      <c r="I29" s="411"/>
    </row>
    <row r="30" hidden="1">
      <c r="A30" s="576">
        <v>0.8958333333333334</v>
      </c>
      <c r="B30" s="63" t="s">
        <v>220</v>
      </c>
      <c r="C30" s="572"/>
      <c r="D30" s="572"/>
      <c r="E30" s="572"/>
      <c r="F30" s="572"/>
      <c r="G30" s="572"/>
      <c r="H30" s="573"/>
      <c r="I30" s="411"/>
    </row>
    <row r="31" hidden="1">
      <c r="A31" s="578"/>
      <c r="B31" s="571"/>
      <c r="C31" s="572"/>
      <c r="D31" s="572"/>
      <c r="E31" s="572"/>
      <c r="F31" s="572"/>
      <c r="G31" s="572"/>
      <c r="H31" s="573"/>
      <c r="I31" s="411"/>
    </row>
    <row r="32">
      <c r="A32" s="570">
        <v>46129.0</v>
      </c>
      <c r="B32" s="571"/>
      <c r="C32" s="572"/>
      <c r="D32" s="572"/>
      <c r="E32" s="572"/>
      <c r="F32" s="572"/>
      <c r="H32" s="24"/>
      <c r="I32" s="411"/>
    </row>
    <row r="33">
      <c r="A33" s="574">
        <v>0.3333333333333333</v>
      </c>
      <c r="B33" s="571"/>
      <c r="C33" s="572"/>
      <c r="D33" s="572"/>
      <c r="E33" s="572"/>
      <c r="F33" s="572"/>
      <c r="H33" s="24"/>
      <c r="I33" s="411"/>
    </row>
    <row r="34">
      <c r="A34" s="574">
        <v>0.3541666666666667</v>
      </c>
      <c r="B34" s="63" t="s">
        <v>221</v>
      </c>
      <c r="C34" s="572"/>
      <c r="D34" s="572"/>
      <c r="E34" s="572"/>
      <c r="F34" s="572"/>
      <c r="G34" s="579" t="s">
        <v>222</v>
      </c>
      <c r="H34" s="580">
        <v>1795.0</v>
      </c>
      <c r="I34" s="411"/>
    </row>
    <row r="35">
      <c r="A35" s="576">
        <v>0.375</v>
      </c>
      <c r="B35" s="63" t="s">
        <v>223</v>
      </c>
      <c r="C35" s="572"/>
      <c r="D35" s="572"/>
      <c r="E35" s="572"/>
      <c r="F35" s="572"/>
      <c r="G35" s="579" t="s">
        <v>222</v>
      </c>
      <c r="H35" s="580">
        <v>3401.0</v>
      </c>
      <c r="I35" s="411"/>
    </row>
    <row r="36">
      <c r="A36" s="574">
        <v>0.3958333333333333</v>
      </c>
      <c r="B36" s="63" t="s">
        <v>224</v>
      </c>
      <c r="C36" s="572"/>
      <c r="D36" s="572"/>
      <c r="E36" s="572"/>
      <c r="F36" s="572"/>
      <c r="G36" s="579" t="s">
        <v>225</v>
      </c>
      <c r="H36" s="580">
        <v>553.0</v>
      </c>
      <c r="I36" s="411"/>
    </row>
    <row r="37">
      <c r="A37" s="576">
        <v>0.4166666666666667</v>
      </c>
      <c r="B37" s="63" t="s">
        <v>226</v>
      </c>
      <c r="C37" s="572"/>
      <c r="D37" s="572"/>
      <c r="E37" s="572"/>
      <c r="F37" s="572"/>
      <c r="G37" s="579" t="s">
        <v>227</v>
      </c>
      <c r="H37" s="580">
        <v>2389.0</v>
      </c>
      <c r="I37" s="411"/>
    </row>
    <row r="38">
      <c r="A38" s="574">
        <v>0.4375</v>
      </c>
      <c r="B38" s="63" t="s">
        <v>228</v>
      </c>
      <c r="C38" s="572"/>
      <c r="D38" s="572"/>
      <c r="E38" s="572"/>
      <c r="F38" s="572"/>
      <c r="G38" s="579" t="s">
        <v>229</v>
      </c>
      <c r="H38" s="580">
        <v>765.0</v>
      </c>
      <c r="I38" s="411"/>
    </row>
    <row r="39">
      <c r="A39" s="574">
        <v>0.4583333333333333</v>
      </c>
      <c r="B39" s="63" t="s">
        <v>230</v>
      </c>
      <c r="C39" s="572"/>
      <c r="D39" s="572"/>
      <c r="E39" s="572"/>
      <c r="F39" s="572"/>
      <c r="G39" s="579" t="s">
        <v>231</v>
      </c>
      <c r="H39" s="580">
        <v>2317.0</v>
      </c>
      <c r="I39" s="411"/>
    </row>
    <row r="40">
      <c r="A40" s="574">
        <v>0.4791666666666667</v>
      </c>
      <c r="B40" s="63" t="s">
        <v>232</v>
      </c>
      <c r="C40" s="572"/>
      <c r="D40" s="572"/>
      <c r="E40" s="572"/>
      <c r="F40" s="572"/>
      <c r="G40" s="579" t="s">
        <v>233</v>
      </c>
      <c r="H40" s="580">
        <v>200.0</v>
      </c>
      <c r="I40" s="411"/>
    </row>
    <row r="41">
      <c r="A41" s="576">
        <v>0.5</v>
      </c>
      <c r="B41" s="63" t="s">
        <v>234</v>
      </c>
      <c r="C41" s="572"/>
      <c r="D41" s="572"/>
      <c r="E41" s="572"/>
      <c r="F41" s="572"/>
      <c r="G41" s="579" t="s">
        <v>235</v>
      </c>
      <c r="H41" s="580">
        <v>561.0</v>
      </c>
      <c r="I41" s="411"/>
    </row>
    <row r="42">
      <c r="A42" s="574">
        <v>0.5208333333333334</v>
      </c>
      <c r="B42" s="63" t="s">
        <v>236</v>
      </c>
      <c r="C42" s="572"/>
      <c r="D42" s="572"/>
      <c r="E42" s="572"/>
      <c r="F42" s="572"/>
      <c r="G42" s="579" t="s">
        <v>237</v>
      </c>
      <c r="H42" s="580">
        <v>1435.0</v>
      </c>
      <c r="I42" s="411"/>
    </row>
    <row r="43">
      <c r="A43" s="576">
        <v>0.5416666666666666</v>
      </c>
      <c r="B43" s="63" t="s">
        <v>238</v>
      </c>
      <c r="C43" s="572"/>
      <c r="D43" s="572"/>
      <c r="E43" s="572"/>
      <c r="F43" s="572"/>
      <c r="G43" s="579" t="s">
        <v>239</v>
      </c>
      <c r="H43" s="580">
        <v>1747.0</v>
      </c>
      <c r="I43" s="579"/>
    </row>
    <row r="44">
      <c r="A44" s="574">
        <v>0.5625</v>
      </c>
      <c r="B44" s="63" t="s">
        <v>240</v>
      </c>
      <c r="C44" s="572"/>
      <c r="D44" s="572"/>
      <c r="E44" s="572"/>
      <c r="F44" s="572"/>
      <c r="G44" s="579" t="s">
        <v>239</v>
      </c>
      <c r="H44" s="580">
        <v>1492.0</v>
      </c>
      <c r="I44" s="579"/>
    </row>
    <row r="45">
      <c r="A45" s="574">
        <v>0.5833333333333334</v>
      </c>
      <c r="B45" s="63" t="s">
        <v>241</v>
      </c>
      <c r="C45" s="579" t="s">
        <v>242</v>
      </c>
      <c r="D45" s="572"/>
      <c r="E45" s="572"/>
      <c r="F45" s="572"/>
      <c r="G45" s="579" t="s">
        <v>239</v>
      </c>
      <c r="H45" s="580">
        <v>1348.0</v>
      </c>
      <c r="I45" s="579"/>
    </row>
    <row r="46">
      <c r="A46" s="574">
        <v>0.6041666666666666</v>
      </c>
      <c r="B46" s="63" t="s">
        <v>243</v>
      </c>
      <c r="C46" s="572"/>
      <c r="D46" s="579" t="s">
        <v>244</v>
      </c>
      <c r="E46" s="572"/>
      <c r="F46" s="572"/>
      <c r="G46" s="579" t="s">
        <v>239</v>
      </c>
      <c r="H46" s="580">
        <v>1341.0</v>
      </c>
      <c r="I46" s="579"/>
    </row>
    <row r="47">
      <c r="A47" s="576">
        <v>0.625</v>
      </c>
      <c r="B47" s="558"/>
      <c r="C47" s="572"/>
      <c r="D47" s="572"/>
      <c r="E47" s="572"/>
      <c r="F47" s="572"/>
      <c r="G47" s="579" t="s">
        <v>239</v>
      </c>
      <c r="H47" s="580">
        <v>957.0</v>
      </c>
      <c r="I47" s="579"/>
    </row>
    <row r="48">
      <c r="A48" s="574">
        <v>0.6458333333333334</v>
      </c>
      <c r="B48" s="63" t="s">
        <v>245</v>
      </c>
      <c r="C48" s="572"/>
      <c r="D48" s="579" t="s">
        <v>246</v>
      </c>
      <c r="E48" s="572"/>
      <c r="F48" s="572"/>
      <c r="G48" s="579" t="s">
        <v>239</v>
      </c>
      <c r="H48" s="580">
        <v>878.0</v>
      </c>
      <c r="I48" s="579"/>
    </row>
    <row r="49">
      <c r="A49" s="576">
        <v>0.6666666666666666</v>
      </c>
      <c r="B49" s="63" t="s">
        <v>247</v>
      </c>
      <c r="C49" s="572"/>
      <c r="D49" s="572"/>
      <c r="E49" s="572"/>
      <c r="F49" s="572"/>
      <c r="G49" s="579" t="s">
        <v>239</v>
      </c>
      <c r="H49" s="580">
        <v>869.0</v>
      </c>
      <c r="I49" s="579"/>
    </row>
    <row r="50">
      <c r="A50" s="574">
        <v>0.6875</v>
      </c>
      <c r="B50" s="63" t="s">
        <v>248</v>
      </c>
      <c r="C50" s="572"/>
      <c r="D50" s="572"/>
      <c r="E50" s="572"/>
      <c r="F50" s="572"/>
      <c r="G50" s="579" t="s">
        <v>239</v>
      </c>
      <c r="H50" s="580">
        <v>439.0</v>
      </c>
      <c r="I50" s="579"/>
    </row>
    <row r="51">
      <c r="A51" s="574">
        <v>0.7083333333333334</v>
      </c>
      <c r="B51" s="571"/>
      <c r="C51" s="572"/>
      <c r="D51" s="572"/>
      <c r="E51" s="572"/>
      <c r="F51" s="572"/>
      <c r="G51" s="579" t="s">
        <v>239</v>
      </c>
      <c r="H51" s="580">
        <v>399.0</v>
      </c>
      <c r="I51" s="579"/>
    </row>
    <row r="52">
      <c r="A52" s="576">
        <v>0.7291666666666666</v>
      </c>
      <c r="B52" s="63" t="s">
        <v>249</v>
      </c>
      <c r="C52" s="572"/>
      <c r="D52" s="572"/>
      <c r="E52" s="572"/>
      <c r="F52" s="572"/>
      <c r="G52" s="579" t="s">
        <v>250</v>
      </c>
      <c r="H52" s="580">
        <v>4470.35</v>
      </c>
      <c r="I52" s="579"/>
    </row>
    <row r="53">
      <c r="A53" s="574">
        <v>0.75</v>
      </c>
      <c r="B53" s="571"/>
      <c r="C53" s="572"/>
      <c r="D53" s="572"/>
      <c r="E53" s="572"/>
      <c r="F53" s="572"/>
      <c r="G53" s="572"/>
      <c r="H53" s="580">
        <v>319.0</v>
      </c>
      <c r="I53" s="411"/>
    </row>
    <row r="54">
      <c r="A54" s="576">
        <v>0.7708333333333334</v>
      </c>
      <c r="B54" s="63" t="s">
        <v>251</v>
      </c>
      <c r="C54" s="572"/>
      <c r="D54" s="572"/>
      <c r="E54" s="572"/>
      <c r="F54" s="572"/>
      <c r="G54" s="579" t="s">
        <v>252</v>
      </c>
      <c r="H54" s="580">
        <v>1870.0</v>
      </c>
      <c r="I54" s="411"/>
    </row>
    <row r="55">
      <c r="A55" s="574">
        <v>0.7916666666666666</v>
      </c>
      <c r="B55" s="558"/>
      <c r="C55" s="572"/>
      <c r="D55" s="572"/>
      <c r="E55" s="572"/>
      <c r="F55" s="572"/>
      <c r="G55" s="579" t="s">
        <v>253</v>
      </c>
      <c r="H55" s="580">
        <v>350.0</v>
      </c>
      <c r="I55" s="411"/>
    </row>
    <row r="56">
      <c r="A56" s="574">
        <v>0.8125</v>
      </c>
      <c r="B56" s="63" t="s">
        <v>254</v>
      </c>
      <c r="C56" s="572"/>
      <c r="D56" s="572"/>
      <c r="E56" s="572"/>
      <c r="F56" s="572"/>
      <c r="G56" s="579" t="s">
        <v>253</v>
      </c>
      <c r="H56" s="580">
        <v>736.0</v>
      </c>
      <c r="I56" s="411"/>
    </row>
    <row r="57">
      <c r="A57" s="574">
        <v>0.8333333333333334</v>
      </c>
      <c r="B57" s="571"/>
      <c r="C57" s="572"/>
      <c r="D57" s="572"/>
      <c r="E57" s="572"/>
      <c r="F57" s="572"/>
      <c r="G57" s="579" t="s">
        <v>255</v>
      </c>
      <c r="H57" s="580">
        <v>2500.0</v>
      </c>
      <c r="I57" s="411"/>
    </row>
    <row r="58">
      <c r="A58" s="576">
        <v>0.8541666666666666</v>
      </c>
      <c r="B58" s="63" t="s">
        <v>256</v>
      </c>
      <c r="C58" s="572"/>
      <c r="D58" s="572"/>
      <c r="E58" s="572"/>
      <c r="F58" s="572"/>
      <c r="G58" s="579" t="s">
        <v>253</v>
      </c>
      <c r="H58" s="580">
        <v>336.0</v>
      </c>
      <c r="I58" s="411"/>
    </row>
    <row r="59">
      <c r="A59" s="574">
        <v>0.875</v>
      </c>
      <c r="B59" s="571"/>
      <c r="C59" s="572"/>
      <c r="D59" s="572"/>
      <c r="E59" s="572"/>
      <c r="F59" s="572"/>
      <c r="G59" s="579" t="s">
        <v>257</v>
      </c>
      <c r="H59" s="580">
        <v>350.0</v>
      </c>
      <c r="I59" s="411"/>
    </row>
    <row r="60">
      <c r="A60" s="576">
        <v>0.8958333333333334</v>
      </c>
      <c r="B60" s="63" t="s">
        <v>258</v>
      </c>
      <c r="C60" s="572"/>
      <c r="D60" s="572"/>
      <c r="E60" s="572"/>
      <c r="F60" s="572"/>
      <c r="G60" s="579" t="s">
        <v>259</v>
      </c>
      <c r="H60" s="580">
        <v>2000.0</v>
      </c>
      <c r="I60" s="411"/>
    </row>
    <row r="61">
      <c r="A61" s="578"/>
      <c r="B61" s="571"/>
      <c r="C61" s="572"/>
      <c r="D61" s="572"/>
      <c r="E61" s="572"/>
      <c r="F61" s="572"/>
      <c r="G61" s="579" t="s">
        <v>253</v>
      </c>
      <c r="H61" s="580">
        <v>1500.0</v>
      </c>
      <c r="I61" s="411"/>
    </row>
    <row r="62">
      <c r="A62" s="581">
        <v>46130.0</v>
      </c>
      <c r="B62" s="571"/>
      <c r="C62" s="572"/>
      <c r="D62" s="572"/>
      <c r="E62" s="572"/>
      <c r="F62" s="572"/>
      <c r="G62" s="579" t="s">
        <v>260</v>
      </c>
      <c r="H62" s="580">
        <v>2500.0</v>
      </c>
      <c r="I62" s="411"/>
    </row>
    <row r="63">
      <c r="A63" s="574">
        <v>0.3333333333333333</v>
      </c>
      <c r="B63" s="571"/>
      <c r="C63" s="572"/>
      <c r="D63" s="572"/>
      <c r="E63" s="572"/>
      <c r="F63" s="572"/>
      <c r="G63" s="579" t="s">
        <v>261</v>
      </c>
      <c r="H63" s="580">
        <v>1000.0</v>
      </c>
      <c r="I63" s="411"/>
    </row>
    <row r="64">
      <c r="A64" s="574">
        <v>0.3541666666666667</v>
      </c>
      <c r="B64" s="571"/>
      <c r="C64" s="572"/>
      <c r="D64" s="572"/>
      <c r="E64" s="572"/>
      <c r="F64" s="572"/>
      <c r="G64" s="579" t="s">
        <v>262</v>
      </c>
      <c r="H64" s="580">
        <v>1000.0</v>
      </c>
      <c r="I64" s="411"/>
    </row>
    <row r="65">
      <c r="A65" s="576">
        <v>0.375</v>
      </c>
      <c r="B65" s="63" t="s">
        <v>263</v>
      </c>
      <c r="C65" s="572"/>
      <c r="D65" s="572"/>
      <c r="E65" s="572"/>
      <c r="F65" s="572"/>
      <c r="G65" s="579" t="s">
        <v>264</v>
      </c>
      <c r="H65" s="580">
        <v>750.0</v>
      </c>
      <c r="I65" s="411"/>
    </row>
    <row r="66">
      <c r="A66" s="574">
        <v>0.3958333333333333</v>
      </c>
      <c r="B66" s="63" t="s">
        <v>265</v>
      </c>
      <c r="C66" s="572"/>
      <c r="D66" s="572"/>
      <c r="E66" s="572"/>
      <c r="F66" s="572"/>
      <c r="G66" s="579" t="s">
        <v>266</v>
      </c>
      <c r="H66" s="580">
        <f>835+400+777+230+250</f>
        <v>2492</v>
      </c>
      <c r="I66" s="411"/>
    </row>
    <row r="67">
      <c r="A67" s="576">
        <v>0.4166666666666667</v>
      </c>
      <c r="B67" s="63" t="s">
        <v>267</v>
      </c>
      <c r="C67" s="572"/>
      <c r="D67" s="572"/>
      <c r="E67" s="572"/>
      <c r="F67" s="572"/>
      <c r="G67" s="572"/>
      <c r="H67" s="573"/>
      <c r="I67" s="411"/>
    </row>
    <row r="68">
      <c r="A68" s="574">
        <v>0.4375</v>
      </c>
      <c r="B68" s="63" t="s">
        <v>268</v>
      </c>
      <c r="C68" s="572"/>
      <c r="D68" s="572"/>
      <c r="E68" s="572"/>
      <c r="F68" s="572"/>
      <c r="G68" s="572"/>
      <c r="H68" s="573"/>
      <c r="I68" s="411"/>
    </row>
    <row r="69">
      <c r="A69" s="574">
        <v>0.4583333333333333</v>
      </c>
      <c r="B69" s="63" t="s">
        <v>269</v>
      </c>
      <c r="C69" s="572"/>
      <c r="D69" s="572"/>
      <c r="E69" s="572"/>
      <c r="F69" s="572"/>
      <c r="G69" s="572"/>
      <c r="H69" s="573"/>
      <c r="I69" s="411"/>
    </row>
    <row r="70">
      <c r="A70" s="574">
        <v>0.4791666666666667</v>
      </c>
      <c r="B70" s="571"/>
      <c r="C70" s="572"/>
      <c r="D70" s="572"/>
      <c r="E70" s="572"/>
      <c r="F70" s="572"/>
      <c r="G70" s="572"/>
      <c r="H70" s="573"/>
      <c r="I70" s="411"/>
    </row>
    <row r="71">
      <c r="A71" s="576">
        <v>0.5</v>
      </c>
      <c r="B71" s="63" t="s">
        <v>270</v>
      </c>
      <c r="C71" s="572"/>
      <c r="D71" s="572"/>
      <c r="E71" s="572"/>
      <c r="F71" s="572"/>
      <c r="G71" s="572"/>
      <c r="H71" s="573"/>
      <c r="I71" s="411"/>
    </row>
    <row r="72">
      <c r="A72" s="574">
        <v>0.5208333333333334</v>
      </c>
      <c r="B72" s="63" t="s">
        <v>271</v>
      </c>
      <c r="C72" s="572"/>
      <c r="D72" s="572"/>
      <c r="E72" s="572"/>
      <c r="F72" s="572"/>
      <c r="G72" s="572"/>
      <c r="H72" s="573"/>
      <c r="I72" s="411"/>
    </row>
    <row r="73">
      <c r="A73" s="576">
        <v>0.5416666666666666</v>
      </c>
      <c r="B73" s="63" t="s">
        <v>272</v>
      </c>
      <c r="C73" s="572"/>
      <c r="D73" s="572"/>
      <c r="E73" s="572"/>
      <c r="F73" s="572"/>
      <c r="G73" s="572"/>
      <c r="H73" s="573"/>
      <c r="I73" s="411"/>
    </row>
    <row r="74">
      <c r="A74" s="574">
        <v>0.5625</v>
      </c>
      <c r="B74" s="63" t="s">
        <v>273</v>
      </c>
      <c r="C74" s="572"/>
      <c r="D74" s="572"/>
      <c r="E74" s="572"/>
      <c r="F74" s="572"/>
      <c r="G74" s="572"/>
      <c r="H74" s="573"/>
      <c r="I74" s="411"/>
    </row>
    <row r="75">
      <c r="A75" s="574">
        <v>0.5833333333333334</v>
      </c>
      <c r="B75" s="571"/>
      <c r="C75" s="572"/>
      <c r="D75" s="572"/>
      <c r="E75" s="572"/>
      <c r="F75" s="572"/>
      <c r="G75" s="572"/>
      <c r="H75" s="573">
        <f>SUM(H34:H74)</f>
        <v>45059.35</v>
      </c>
      <c r="I75" s="411"/>
    </row>
    <row r="76">
      <c r="A76" s="574">
        <v>0.6041666666666666</v>
      </c>
      <c r="B76" s="63" t="s">
        <v>274</v>
      </c>
      <c r="C76" s="572"/>
      <c r="D76" s="572"/>
      <c r="E76" s="572"/>
      <c r="F76" s="572"/>
      <c r="G76" s="572"/>
      <c r="H76" s="573"/>
      <c r="I76" s="411"/>
    </row>
    <row r="77">
      <c r="A77" s="576">
        <v>0.625</v>
      </c>
      <c r="B77" s="63" t="s">
        <v>275</v>
      </c>
      <c r="C77" s="572"/>
      <c r="D77" s="572"/>
      <c r="E77" s="572"/>
      <c r="F77" s="572"/>
      <c r="G77" s="572"/>
      <c r="H77" s="573"/>
      <c r="I77" s="411"/>
    </row>
    <row r="78">
      <c r="A78" s="574">
        <v>0.6458333333333334</v>
      </c>
      <c r="B78" s="63" t="s">
        <v>276</v>
      </c>
      <c r="C78" s="572"/>
      <c r="D78" s="572"/>
      <c r="E78" s="572"/>
      <c r="F78" s="572"/>
      <c r="G78" s="572"/>
      <c r="H78" s="573"/>
      <c r="I78" s="411"/>
    </row>
    <row r="79">
      <c r="A79" s="576">
        <v>0.6666666666666666</v>
      </c>
      <c r="B79" s="63" t="s">
        <v>277</v>
      </c>
      <c r="C79" s="572"/>
      <c r="D79" s="572"/>
      <c r="E79" s="572"/>
      <c r="F79" s="572"/>
      <c r="G79" s="572"/>
      <c r="H79" s="573"/>
      <c r="I79" s="411"/>
    </row>
    <row r="80">
      <c r="A80" s="574">
        <v>0.6875</v>
      </c>
      <c r="B80" s="63" t="s">
        <v>278</v>
      </c>
      <c r="C80" s="572"/>
      <c r="D80" s="572"/>
      <c r="E80" s="572"/>
      <c r="F80" s="572"/>
      <c r="G80" s="572"/>
      <c r="H80" s="573"/>
      <c r="I80" s="411"/>
    </row>
    <row r="81">
      <c r="A81" s="574">
        <v>0.7083333333333334</v>
      </c>
      <c r="B81" s="571"/>
      <c r="C81" s="572"/>
      <c r="D81" s="572"/>
      <c r="E81" s="572"/>
      <c r="F81" s="572"/>
      <c r="G81" s="572"/>
      <c r="H81" s="573"/>
      <c r="I81" s="411"/>
    </row>
    <row r="82">
      <c r="A82" s="576">
        <v>0.7291666666666666</v>
      </c>
      <c r="B82" s="571"/>
      <c r="C82" s="572"/>
      <c r="D82" s="572"/>
      <c r="E82" s="572"/>
      <c r="F82" s="572"/>
      <c r="G82" s="572"/>
      <c r="H82" s="573"/>
      <c r="I82" s="411"/>
    </row>
    <row r="83">
      <c r="A83" s="574">
        <v>0.75</v>
      </c>
      <c r="B83" s="571"/>
      <c r="C83" s="572"/>
      <c r="D83" s="572"/>
      <c r="E83" s="572"/>
      <c r="F83" s="572"/>
      <c r="G83" s="572"/>
      <c r="H83" s="573"/>
      <c r="I83" s="411"/>
    </row>
    <row r="84">
      <c r="A84" s="576">
        <v>0.7708333333333334</v>
      </c>
      <c r="B84" s="571"/>
      <c r="C84" s="572"/>
      <c r="D84" s="572"/>
      <c r="E84" s="572"/>
      <c r="F84" s="572"/>
      <c r="G84" s="572"/>
      <c r="H84" s="573"/>
      <c r="I84" s="411"/>
    </row>
    <row r="85">
      <c r="A85" s="574">
        <v>0.7916666666666666</v>
      </c>
      <c r="B85" s="571"/>
      <c r="C85" s="572"/>
      <c r="D85" s="572"/>
      <c r="E85" s="572"/>
      <c r="F85" s="572"/>
      <c r="G85" s="572"/>
      <c r="H85" s="573"/>
      <c r="I85" s="411"/>
    </row>
    <row r="86">
      <c r="A86" s="574">
        <v>0.8125</v>
      </c>
      <c r="B86" s="571"/>
      <c r="C86" s="572"/>
      <c r="D86" s="572"/>
      <c r="E86" s="572"/>
      <c r="F86" s="572"/>
      <c r="G86" s="572"/>
      <c r="H86" s="573"/>
      <c r="I86" s="411"/>
    </row>
    <row r="87">
      <c r="A87" s="574">
        <v>0.8333333333333334</v>
      </c>
      <c r="B87" s="571"/>
      <c r="C87" s="572"/>
      <c r="D87" s="572"/>
      <c r="E87" s="572"/>
      <c r="F87" s="572"/>
      <c r="G87" s="572"/>
      <c r="H87" s="573"/>
      <c r="I87" s="411"/>
    </row>
    <row r="88">
      <c r="A88" s="576">
        <v>0.8541666666666666</v>
      </c>
      <c r="B88" s="571"/>
      <c r="C88" s="572"/>
      <c r="D88" s="572"/>
      <c r="E88" s="572"/>
      <c r="F88" s="572"/>
      <c r="G88" s="572"/>
      <c r="H88" s="573"/>
      <c r="I88" s="411"/>
    </row>
    <row r="89">
      <c r="A89" s="574">
        <v>0.875</v>
      </c>
      <c r="B89" s="571"/>
      <c r="C89" s="572"/>
      <c r="D89" s="572"/>
      <c r="E89" s="572"/>
      <c r="F89" s="572"/>
      <c r="G89" s="572"/>
      <c r="H89" s="573"/>
      <c r="I89" s="411"/>
    </row>
    <row r="90">
      <c r="A90" s="576">
        <v>0.8958333333333334</v>
      </c>
      <c r="B90" s="571"/>
      <c r="C90" s="572"/>
      <c r="D90" s="572"/>
      <c r="E90" s="572"/>
      <c r="F90" s="572"/>
      <c r="G90" s="572"/>
      <c r="H90" s="573"/>
      <c r="I90" s="411"/>
    </row>
    <row r="91">
      <c r="A91" s="582"/>
      <c r="B91" s="571"/>
      <c r="C91" s="572"/>
      <c r="D91" s="572"/>
      <c r="E91" s="572"/>
      <c r="F91" s="572"/>
      <c r="G91" s="572"/>
      <c r="H91" s="573"/>
      <c r="I91" s="411"/>
    </row>
    <row r="92">
      <c r="A92" s="583"/>
      <c r="B92" s="584">
        <v>46127.0</v>
      </c>
      <c r="C92" s="585">
        <v>46128.0</v>
      </c>
      <c r="D92" s="585">
        <v>46129.0</v>
      </c>
      <c r="E92" s="585">
        <v>46130.0</v>
      </c>
      <c r="F92" s="585">
        <v>46131.0</v>
      </c>
      <c r="G92" s="585">
        <v>46132.0</v>
      </c>
      <c r="H92" s="586">
        <v>46133.0</v>
      </c>
      <c r="I92" s="411"/>
    </row>
    <row r="93">
      <c r="A93" s="574">
        <v>0.0</v>
      </c>
      <c r="B93" s="587"/>
      <c r="C93" s="588"/>
      <c r="D93" s="589"/>
      <c r="E93" s="589"/>
      <c r="F93" s="588"/>
      <c r="G93" s="588"/>
      <c r="H93" s="590"/>
      <c r="I93" s="411"/>
    </row>
    <row r="94">
      <c r="A94" s="574">
        <v>0.041666666666666664</v>
      </c>
      <c r="B94" s="587"/>
      <c r="C94" s="588"/>
      <c r="D94" s="589"/>
      <c r="E94" s="589"/>
      <c r="F94" s="588"/>
      <c r="G94" s="588"/>
      <c r="H94" s="590"/>
      <c r="I94" s="411"/>
    </row>
    <row r="95">
      <c r="A95" s="574">
        <v>0.08333333333333333</v>
      </c>
      <c r="B95" s="587"/>
      <c r="C95" s="588"/>
      <c r="D95" s="589"/>
      <c r="E95" s="589"/>
      <c r="F95" s="588"/>
      <c r="G95" s="588"/>
      <c r="H95" s="590"/>
      <c r="I95" s="411"/>
    </row>
    <row r="96">
      <c r="A96" s="574">
        <v>0.125</v>
      </c>
      <c r="B96" s="591" t="s">
        <v>279</v>
      </c>
      <c r="C96" s="588"/>
      <c r="D96" s="589"/>
      <c r="E96" s="589"/>
      <c r="F96" s="588"/>
      <c r="G96" s="588"/>
      <c r="H96" s="590"/>
      <c r="I96" s="411"/>
    </row>
    <row r="97">
      <c r="A97" s="574">
        <v>0.16666666666666666</v>
      </c>
      <c r="B97" s="591" t="s">
        <v>280</v>
      </c>
      <c r="C97" s="588"/>
      <c r="D97" s="589"/>
      <c r="E97" s="589"/>
      <c r="F97" s="588"/>
      <c r="G97" s="588"/>
      <c r="H97" s="590"/>
      <c r="I97" s="411"/>
    </row>
    <row r="98">
      <c r="A98" s="574">
        <v>0.20833333333333334</v>
      </c>
      <c r="B98" s="587"/>
      <c r="C98" s="592" t="s">
        <v>281</v>
      </c>
      <c r="D98" s="589"/>
      <c r="E98" s="589"/>
      <c r="F98" s="588"/>
      <c r="G98" s="588"/>
      <c r="H98" s="590"/>
      <c r="I98" s="411"/>
    </row>
    <row r="99">
      <c r="A99" s="574">
        <v>0.25</v>
      </c>
      <c r="B99" s="593" t="s">
        <v>281</v>
      </c>
      <c r="C99" s="594"/>
      <c r="D99" s="589"/>
      <c r="E99" s="589"/>
      <c r="F99" s="588"/>
      <c r="G99" s="588"/>
      <c r="H99" s="590"/>
      <c r="I99" s="411"/>
    </row>
    <row r="100">
      <c r="A100" s="574">
        <v>0.2916666666666667</v>
      </c>
      <c r="B100" s="595"/>
      <c r="C100" s="592" t="s">
        <v>282</v>
      </c>
      <c r="D100" s="596" t="s">
        <v>283</v>
      </c>
      <c r="E100" s="596" t="s">
        <v>283</v>
      </c>
      <c r="F100" s="596" t="s">
        <v>283</v>
      </c>
      <c r="G100" s="596" t="s">
        <v>283</v>
      </c>
      <c r="H100" s="597" t="s">
        <v>283</v>
      </c>
      <c r="I100" s="411"/>
    </row>
    <row r="101">
      <c r="A101" s="574">
        <v>0.3333333333333333</v>
      </c>
      <c r="B101" s="593" t="s">
        <v>284</v>
      </c>
      <c r="C101" s="598"/>
      <c r="D101" s="599"/>
      <c r="E101" s="599"/>
      <c r="F101" s="588"/>
      <c r="G101" s="588"/>
      <c r="H101" s="590"/>
      <c r="I101" s="411"/>
    </row>
    <row r="102">
      <c r="A102" s="574">
        <v>0.375</v>
      </c>
      <c r="B102" s="600" t="s">
        <v>283</v>
      </c>
      <c r="C102" s="598"/>
      <c r="D102" s="599"/>
      <c r="E102" s="599"/>
      <c r="F102" s="588"/>
      <c r="G102" s="588"/>
      <c r="H102" s="590"/>
      <c r="I102" s="411"/>
    </row>
    <row r="103">
      <c r="A103" s="574">
        <v>0.4166666666666667</v>
      </c>
      <c r="B103" s="601" t="s">
        <v>285</v>
      </c>
      <c r="C103" s="598"/>
      <c r="D103" s="599"/>
      <c r="E103" s="599"/>
      <c r="F103" s="588"/>
      <c r="G103" s="588"/>
      <c r="H103" s="590"/>
      <c r="I103" s="411"/>
    </row>
    <row r="104">
      <c r="A104" s="574">
        <v>0.4583333333333333</v>
      </c>
      <c r="B104" s="601"/>
      <c r="C104" s="598"/>
      <c r="D104" s="599"/>
      <c r="E104" s="599" t="s">
        <v>286</v>
      </c>
      <c r="F104" s="588"/>
      <c r="G104" s="588"/>
      <c r="H104" s="590"/>
      <c r="I104" s="411"/>
    </row>
    <row r="105">
      <c r="A105" s="574">
        <v>0.5</v>
      </c>
      <c r="B105" s="601"/>
      <c r="C105" s="598"/>
      <c r="D105" s="599"/>
      <c r="E105" s="598"/>
      <c r="F105" s="588"/>
      <c r="G105" s="588"/>
      <c r="H105" s="590"/>
      <c r="I105" s="411"/>
    </row>
    <row r="106">
      <c r="A106" s="574">
        <v>0.5416666666666666</v>
      </c>
      <c r="B106" s="602" t="s">
        <v>287</v>
      </c>
      <c r="C106" s="603" t="s">
        <v>287</v>
      </c>
      <c r="D106" s="603" t="s">
        <v>287</v>
      </c>
      <c r="E106" s="603" t="s">
        <v>287</v>
      </c>
      <c r="F106" s="603" t="s">
        <v>287</v>
      </c>
      <c r="G106" s="603" t="s">
        <v>287</v>
      </c>
      <c r="H106" s="604" t="s">
        <v>287</v>
      </c>
      <c r="I106" s="411"/>
    </row>
    <row r="107">
      <c r="A107" s="574">
        <v>0.5833333333333334</v>
      </c>
      <c r="B107" s="601"/>
      <c r="C107" s="599"/>
      <c r="D107" s="605"/>
      <c r="E107" s="606"/>
      <c r="F107" s="588"/>
      <c r="G107" s="588"/>
      <c r="H107" s="590"/>
      <c r="I107" s="411"/>
    </row>
    <row r="108">
      <c r="A108" s="574">
        <v>0.625</v>
      </c>
      <c r="B108" s="601"/>
      <c r="C108" s="599" t="s">
        <v>288</v>
      </c>
      <c r="D108" s="605"/>
      <c r="E108" s="606"/>
      <c r="F108" s="588"/>
      <c r="G108" s="588"/>
      <c r="H108" s="590"/>
      <c r="I108" s="411"/>
    </row>
    <row r="109">
      <c r="A109" s="574">
        <v>0.6666666666666666</v>
      </c>
      <c r="B109" s="601"/>
      <c r="C109" s="599"/>
      <c r="D109" s="605"/>
      <c r="E109" s="606"/>
      <c r="F109" s="588"/>
      <c r="G109" s="588"/>
      <c r="H109" s="607" t="s">
        <v>289</v>
      </c>
      <c r="I109" s="411"/>
    </row>
    <row r="110">
      <c r="A110" s="574">
        <v>0.7083333333333334</v>
      </c>
      <c r="B110" s="601"/>
      <c r="C110" s="599"/>
      <c r="D110" s="608"/>
      <c r="E110" s="609"/>
      <c r="F110" s="588"/>
      <c r="G110" s="588"/>
      <c r="H110" s="610"/>
      <c r="I110" s="411"/>
    </row>
    <row r="111">
      <c r="A111" s="574">
        <v>0.75</v>
      </c>
      <c r="B111" s="601"/>
      <c r="C111" s="599"/>
      <c r="D111" s="605"/>
      <c r="E111" s="603" t="s">
        <v>290</v>
      </c>
      <c r="F111" s="588"/>
      <c r="G111" s="588"/>
      <c r="H111" s="610"/>
      <c r="I111" s="411"/>
    </row>
    <row r="112">
      <c r="A112" s="574">
        <v>0.7916666666666666</v>
      </c>
      <c r="B112" s="602" t="s">
        <v>290</v>
      </c>
      <c r="C112" s="603" t="s">
        <v>290</v>
      </c>
      <c r="D112" s="603" t="s">
        <v>290</v>
      </c>
      <c r="E112" s="592" t="s">
        <v>284</v>
      </c>
      <c r="F112" s="603" t="s">
        <v>290</v>
      </c>
      <c r="G112" s="603" t="s">
        <v>290</v>
      </c>
      <c r="H112" s="607" t="s">
        <v>291</v>
      </c>
      <c r="I112" s="411"/>
    </row>
    <row r="113">
      <c r="A113" s="574">
        <v>0.8333333333333334</v>
      </c>
      <c r="B113" s="611"/>
      <c r="C113" s="599"/>
      <c r="D113" s="605"/>
      <c r="E113" s="594"/>
      <c r="F113" s="588"/>
      <c r="G113" s="588"/>
      <c r="H113" s="604" t="s">
        <v>290</v>
      </c>
      <c r="I113" s="411"/>
    </row>
    <row r="114">
      <c r="A114" s="574">
        <v>0.875</v>
      </c>
      <c r="B114" s="611"/>
      <c r="C114" s="599"/>
      <c r="D114" s="605"/>
      <c r="E114" s="594"/>
      <c r="F114" s="588"/>
      <c r="G114" s="588"/>
      <c r="H114" s="607" t="s">
        <v>292</v>
      </c>
      <c r="I114" s="411"/>
    </row>
    <row r="115">
      <c r="A115" s="574">
        <v>0.9166666666666666</v>
      </c>
      <c r="B115" s="612"/>
      <c r="C115" s="599"/>
      <c r="D115" s="605"/>
      <c r="E115" s="613" t="s">
        <v>285</v>
      </c>
      <c r="F115" s="588"/>
      <c r="G115" s="588"/>
      <c r="H115" s="614"/>
      <c r="I115" s="411"/>
    </row>
    <row r="116">
      <c r="A116" s="574">
        <v>0.9583333333333334</v>
      </c>
      <c r="B116" s="612"/>
      <c r="C116" s="599"/>
      <c r="D116" s="605"/>
      <c r="E116" s="613"/>
      <c r="F116" s="588"/>
      <c r="G116" s="588"/>
      <c r="H116" s="614"/>
      <c r="I116" s="411"/>
    </row>
    <row r="117">
      <c r="A117" s="574">
        <v>1.0</v>
      </c>
      <c r="B117" s="612"/>
      <c r="C117" s="599"/>
      <c r="D117" s="605"/>
      <c r="E117" s="613"/>
      <c r="F117" s="588"/>
      <c r="G117" s="588"/>
      <c r="H117" s="614"/>
      <c r="I117" s="411"/>
    </row>
    <row r="118">
      <c r="A118" s="578"/>
      <c r="B118" s="571"/>
      <c r="C118" s="615"/>
      <c r="D118" s="616"/>
      <c r="E118" s="572"/>
      <c r="F118" s="572"/>
      <c r="H118" s="24"/>
      <c r="I118" s="411"/>
    </row>
    <row r="119">
      <c r="A119" s="578"/>
      <c r="B119" s="571"/>
      <c r="C119" s="615"/>
      <c r="D119" s="616"/>
      <c r="E119" s="572"/>
      <c r="F119" s="572"/>
      <c r="H119" s="24"/>
      <c r="I119" s="411"/>
    </row>
    <row r="120">
      <c r="A120" s="583"/>
      <c r="B120" s="584">
        <v>45736.0</v>
      </c>
      <c r="C120" s="585">
        <v>45737.0</v>
      </c>
      <c r="D120" s="585">
        <v>45738.0</v>
      </c>
      <c r="E120" s="585">
        <v>45739.0</v>
      </c>
      <c r="F120" s="585">
        <v>45740.0</v>
      </c>
      <c r="H120" s="24"/>
      <c r="I120" s="411"/>
    </row>
    <row r="121" hidden="1">
      <c r="A121" s="574">
        <v>0.0</v>
      </c>
      <c r="B121" s="587"/>
      <c r="C121" s="588"/>
      <c r="D121" s="588"/>
      <c r="E121" s="588"/>
      <c r="F121" s="588"/>
      <c r="H121" s="24"/>
      <c r="I121" s="411"/>
    </row>
    <row r="122" hidden="1">
      <c r="A122" s="574">
        <v>0.041666666666666664</v>
      </c>
      <c r="B122" s="587"/>
      <c r="C122" s="588"/>
      <c r="D122" s="588"/>
      <c r="E122" s="588"/>
      <c r="F122" s="588"/>
      <c r="H122" s="24"/>
      <c r="I122" s="411"/>
    </row>
    <row r="123" hidden="1">
      <c r="A123" s="574">
        <v>0.08333333333333333</v>
      </c>
      <c r="B123" s="587"/>
      <c r="C123" s="588"/>
      <c r="D123" s="588"/>
      <c r="E123" s="588"/>
      <c r="F123" s="588"/>
      <c r="H123" s="24"/>
      <c r="I123" s="411"/>
    </row>
    <row r="124" hidden="1">
      <c r="A124" s="574">
        <v>0.125</v>
      </c>
      <c r="B124" s="587"/>
      <c r="C124" s="588"/>
      <c r="D124" s="588"/>
      <c r="E124" s="588"/>
      <c r="F124" s="588"/>
      <c r="H124" s="24"/>
      <c r="I124" s="411"/>
    </row>
    <row r="125" hidden="1">
      <c r="A125" s="574">
        <v>0.16666666666666666</v>
      </c>
      <c r="B125" s="587"/>
      <c r="C125" s="588"/>
      <c r="D125" s="588"/>
      <c r="E125" s="588"/>
      <c r="F125" s="588"/>
      <c r="H125" s="24"/>
      <c r="I125" s="411"/>
    </row>
    <row r="126">
      <c r="A126" s="574">
        <v>0.20833333333333334</v>
      </c>
      <c r="B126" s="587"/>
      <c r="C126" s="588"/>
      <c r="D126" s="588"/>
      <c r="E126" s="588"/>
      <c r="F126" s="588"/>
      <c r="G126" s="617" t="s">
        <v>293</v>
      </c>
      <c r="H126" s="618">
        <v>16500.0</v>
      </c>
      <c r="I126" s="411"/>
    </row>
    <row r="127">
      <c r="A127" s="574">
        <v>0.25</v>
      </c>
      <c r="B127" s="587"/>
      <c r="C127" s="588"/>
      <c r="D127" s="588"/>
      <c r="E127" s="588"/>
      <c r="F127" s="588"/>
      <c r="G127" s="617" t="s">
        <v>294</v>
      </c>
      <c r="H127" s="618">
        <v>1188.0</v>
      </c>
      <c r="I127" s="411"/>
    </row>
    <row r="128">
      <c r="A128" s="574">
        <v>0.2916666666666667</v>
      </c>
      <c r="B128" s="587"/>
      <c r="C128" s="596" t="s">
        <v>283</v>
      </c>
      <c r="D128" s="596" t="s">
        <v>283</v>
      </c>
      <c r="E128" s="596" t="s">
        <v>283</v>
      </c>
      <c r="F128" s="596" t="s">
        <v>283</v>
      </c>
      <c r="G128" s="617" t="s">
        <v>295</v>
      </c>
      <c r="H128" s="618">
        <v>1422.0</v>
      </c>
      <c r="I128" s="411"/>
    </row>
    <row r="129">
      <c r="A129" s="574">
        <v>0.3333333333333333</v>
      </c>
      <c r="B129" s="587"/>
      <c r="C129" s="619" t="s">
        <v>296</v>
      </c>
      <c r="D129" s="620" t="s">
        <v>297</v>
      </c>
      <c r="E129" s="621" t="s">
        <v>298</v>
      </c>
      <c r="G129" s="617" t="s">
        <v>299</v>
      </c>
      <c r="H129" s="618">
        <v>261.0</v>
      </c>
      <c r="I129" s="411"/>
    </row>
    <row r="130">
      <c r="A130" s="574">
        <v>0.375</v>
      </c>
      <c r="B130" s="587"/>
      <c r="C130" s="622"/>
      <c r="D130" s="623"/>
      <c r="E130" s="621"/>
      <c r="G130" s="617" t="s">
        <v>300</v>
      </c>
      <c r="H130" s="618">
        <v>251.0</v>
      </c>
      <c r="I130" s="411"/>
    </row>
    <row r="131">
      <c r="A131" s="574">
        <v>0.4166666666666667</v>
      </c>
      <c r="B131" s="587"/>
      <c r="C131" s="622"/>
      <c r="D131" s="623"/>
      <c r="E131" s="624"/>
      <c r="G131" s="617" t="s">
        <v>301</v>
      </c>
      <c r="H131" s="618">
        <v>295.0</v>
      </c>
      <c r="I131" s="411"/>
    </row>
    <row r="132">
      <c r="A132" s="574">
        <v>0.4583333333333333</v>
      </c>
      <c r="B132" s="587"/>
      <c r="C132" s="623"/>
      <c r="D132" s="623"/>
      <c r="E132" s="624"/>
      <c r="G132" s="617" t="s">
        <v>302</v>
      </c>
      <c r="H132" s="618">
        <v>1100.0</v>
      </c>
      <c r="I132" s="411"/>
    </row>
    <row r="133">
      <c r="A133" s="574">
        <v>0.5</v>
      </c>
      <c r="B133" s="587"/>
      <c r="C133" s="603" t="s">
        <v>287</v>
      </c>
      <c r="D133" s="603" t="s">
        <v>287</v>
      </c>
      <c r="E133" s="603" t="s">
        <v>287</v>
      </c>
      <c r="F133" s="603" t="s">
        <v>287</v>
      </c>
      <c r="G133" s="617" t="s">
        <v>303</v>
      </c>
      <c r="H133" s="618">
        <v>460.0</v>
      </c>
      <c r="I133" s="411"/>
    </row>
    <row r="134">
      <c r="A134" s="574">
        <v>0.5416666666666666</v>
      </c>
      <c r="B134" s="587"/>
      <c r="C134" s="620" t="s">
        <v>304</v>
      </c>
      <c r="D134" s="598"/>
      <c r="E134" s="625"/>
      <c r="F134" s="592" t="s">
        <v>289</v>
      </c>
      <c r="G134" s="617" t="s">
        <v>305</v>
      </c>
      <c r="H134" s="618">
        <v>500.0</v>
      </c>
      <c r="I134" s="411"/>
    </row>
    <row r="135">
      <c r="A135" s="574">
        <v>0.5833333333333334</v>
      </c>
      <c r="B135" s="587"/>
      <c r="C135" s="620"/>
      <c r="D135" s="598"/>
      <c r="E135" s="452"/>
      <c r="F135" s="626"/>
      <c r="G135" s="617" t="s">
        <v>306</v>
      </c>
      <c r="H135" s="618">
        <v>350.0</v>
      </c>
      <c r="I135" s="411"/>
    </row>
    <row r="136">
      <c r="A136" s="574">
        <v>0.625</v>
      </c>
      <c r="B136" s="587"/>
      <c r="C136" s="620"/>
      <c r="D136" s="598" t="s">
        <v>307</v>
      </c>
      <c r="E136" s="627"/>
      <c r="F136" s="626"/>
      <c r="G136" s="617" t="s">
        <v>308</v>
      </c>
      <c r="H136" s="618">
        <v>750.0</v>
      </c>
      <c r="I136" s="411"/>
    </row>
    <row r="137">
      <c r="A137" s="574">
        <v>0.6666666666666666</v>
      </c>
      <c r="B137" s="587"/>
      <c r="C137" s="620"/>
      <c r="D137" s="598"/>
      <c r="E137" s="625"/>
      <c r="F137" s="592" t="s">
        <v>291</v>
      </c>
      <c r="G137" s="617" t="s">
        <v>309</v>
      </c>
      <c r="H137" s="618">
        <v>4800.0</v>
      </c>
      <c r="I137" s="411"/>
    </row>
    <row r="138">
      <c r="A138" s="574">
        <v>0.7083333333333334</v>
      </c>
      <c r="B138" s="587"/>
      <c r="C138" s="620"/>
      <c r="D138" s="628"/>
      <c r="E138" s="625"/>
      <c r="F138" s="626"/>
      <c r="G138" s="629"/>
      <c r="H138" s="618">
        <v>734.0</v>
      </c>
      <c r="I138" s="411"/>
    </row>
    <row r="139">
      <c r="A139" s="574">
        <v>0.75</v>
      </c>
      <c r="B139" s="587"/>
      <c r="C139" s="620"/>
      <c r="D139" s="630" t="s">
        <v>310</v>
      </c>
      <c r="E139" s="452"/>
      <c r="F139" s="592" t="s">
        <v>311</v>
      </c>
      <c r="G139" s="617" t="s">
        <v>312</v>
      </c>
      <c r="H139" s="618">
        <v>1328.0</v>
      </c>
      <c r="I139" s="411"/>
    </row>
    <row r="140">
      <c r="A140" s="574">
        <v>0.7916666666666666</v>
      </c>
      <c r="B140" s="587"/>
      <c r="C140" s="603" t="s">
        <v>290</v>
      </c>
      <c r="D140" s="630" t="s">
        <v>313</v>
      </c>
      <c r="E140" s="603" t="s">
        <v>290</v>
      </c>
      <c r="F140" s="603" t="s">
        <v>290</v>
      </c>
      <c r="G140" s="617" t="s">
        <v>314</v>
      </c>
      <c r="H140" s="618">
        <v>230.0</v>
      </c>
      <c r="I140" s="411"/>
    </row>
    <row r="141">
      <c r="A141" s="574">
        <v>0.8333333333333334</v>
      </c>
      <c r="B141" s="587"/>
      <c r="C141" s="620"/>
      <c r="D141" s="630"/>
      <c r="E141" s="627"/>
      <c r="F141" s="627"/>
      <c r="G141" s="617" t="s">
        <v>315</v>
      </c>
      <c r="H141" s="618">
        <v>160.0</v>
      </c>
      <c r="I141" s="411"/>
    </row>
    <row r="142">
      <c r="A142" s="574">
        <v>0.875</v>
      </c>
      <c r="B142" s="602" t="s">
        <v>290</v>
      </c>
      <c r="C142" s="620"/>
      <c r="D142" s="630"/>
      <c r="E142" s="625"/>
      <c r="F142" s="625"/>
      <c r="G142" s="617" t="s">
        <v>316</v>
      </c>
      <c r="H142" s="618">
        <v>500.0</v>
      </c>
      <c r="I142" s="411"/>
    </row>
    <row r="143">
      <c r="A143" s="574">
        <v>0.9166666666666666</v>
      </c>
      <c r="B143" s="593" t="s">
        <v>281</v>
      </c>
      <c r="C143" s="620"/>
      <c r="D143" s="630"/>
      <c r="E143" s="625"/>
      <c r="F143" s="625"/>
      <c r="G143" s="617" t="s">
        <v>317</v>
      </c>
      <c r="H143" s="618">
        <v>1900.0</v>
      </c>
      <c r="I143" s="411"/>
    </row>
    <row r="144">
      <c r="A144" s="574">
        <v>0.9583333333333334</v>
      </c>
      <c r="B144" s="595"/>
      <c r="C144" s="613" t="s">
        <v>285</v>
      </c>
      <c r="D144" s="630"/>
      <c r="E144" s="625"/>
      <c r="F144" s="625"/>
      <c r="G144" s="617" t="s">
        <v>318</v>
      </c>
      <c r="H144" s="618">
        <v>1060.0</v>
      </c>
      <c r="I144" s="411"/>
    </row>
    <row r="145">
      <c r="A145" s="574">
        <v>1.0</v>
      </c>
      <c r="B145" s="593" t="s">
        <v>284</v>
      </c>
      <c r="C145" s="613"/>
      <c r="D145" s="630"/>
      <c r="E145" s="625"/>
      <c r="F145" s="625"/>
      <c r="G145" s="617" t="s">
        <v>319</v>
      </c>
      <c r="H145" s="618">
        <v>700.0</v>
      </c>
      <c r="I145" s="411"/>
    </row>
    <row r="146">
      <c r="A146" s="578"/>
      <c r="B146" s="631"/>
      <c r="C146" s="632"/>
      <c r="D146" s="633"/>
      <c r="E146" s="634"/>
      <c r="F146" s="411"/>
      <c r="G146" s="617" t="s">
        <v>320</v>
      </c>
      <c r="H146" s="618">
        <v>520.0</v>
      </c>
      <c r="I146" s="411"/>
    </row>
    <row r="147">
      <c r="A147" s="578"/>
      <c r="B147" s="631"/>
      <c r="C147" s="632"/>
      <c r="D147" s="633"/>
      <c r="E147" s="634"/>
      <c r="F147" s="411"/>
      <c r="G147" s="635" t="s">
        <v>321</v>
      </c>
      <c r="H147" s="105">
        <v>670.0</v>
      </c>
      <c r="I147" s="411"/>
    </row>
    <row r="148">
      <c r="A148" s="578"/>
      <c r="B148" s="631"/>
      <c r="C148" s="632"/>
      <c r="D148" s="633"/>
      <c r="E148" s="634"/>
      <c r="F148" s="411"/>
      <c r="G148" s="636" t="s">
        <v>322</v>
      </c>
      <c r="H148" s="637">
        <f>SUM(H126:H147)</f>
        <v>35679</v>
      </c>
      <c r="I148" s="411"/>
    </row>
    <row r="149">
      <c r="A149" s="578"/>
      <c r="B149" s="631"/>
      <c r="C149" s="632"/>
      <c r="D149" s="633"/>
      <c r="E149" s="634"/>
      <c r="F149" s="411"/>
      <c r="H149" s="24"/>
      <c r="I149" s="411"/>
    </row>
    <row r="150">
      <c r="A150" s="578"/>
      <c r="B150" s="631" t="s">
        <v>323</v>
      </c>
      <c r="C150" s="632">
        <v>44927.0</v>
      </c>
      <c r="D150" s="633"/>
      <c r="E150" s="634"/>
      <c r="F150" s="411"/>
      <c r="G150" s="19" t="s">
        <v>324</v>
      </c>
      <c r="H150" s="24">
        <f>H148-H126</f>
        <v>19179</v>
      </c>
      <c r="I150" s="411"/>
    </row>
    <row r="151">
      <c r="A151" s="578"/>
      <c r="B151" s="638"/>
      <c r="C151" s="639">
        <v>1500.0</v>
      </c>
      <c r="D151" s="639" t="s">
        <v>125</v>
      </c>
      <c r="E151" s="634"/>
      <c r="F151" s="411"/>
      <c r="H151" s="24"/>
      <c r="I151" s="411"/>
    </row>
    <row r="152">
      <c r="A152" s="578"/>
      <c r="B152" s="638"/>
      <c r="C152" s="639">
        <v>1350.0</v>
      </c>
      <c r="D152" s="639" t="s">
        <v>127</v>
      </c>
      <c r="E152" s="634"/>
      <c r="F152" s="411"/>
      <c r="H152" s="24"/>
      <c r="I152" s="411"/>
    </row>
    <row r="153">
      <c r="A153" s="578"/>
      <c r="B153" s="638"/>
      <c r="C153" s="639">
        <v>1800.0</v>
      </c>
      <c r="D153" s="639" t="s">
        <v>128</v>
      </c>
      <c r="E153" s="634"/>
      <c r="F153" s="411"/>
      <c r="H153" s="24"/>
      <c r="I153" s="411"/>
    </row>
    <row r="154">
      <c r="A154" s="578"/>
      <c r="B154" s="638"/>
      <c r="C154" s="639">
        <v>4787.0</v>
      </c>
      <c r="D154" s="639" t="s">
        <v>129</v>
      </c>
      <c r="E154" s="634"/>
      <c r="F154" s="411"/>
      <c r="G154" s="629"/>
      <c r="H154" s="640"/>
      <c r="I154" s="411"/>
    </row>
    <row r="155">
      <c r="A155" s="578"/>
      <c r="B155" s="638"/>
      <c r="C155" s="641">
        <v>480.0</v>
      </c>
      <c r="D155" s="639" t="s">
        <v>130</v>
      </c>
      <c r="E155" s="634"/>
      <c r="F155" s="411"/>
      <c r="G155" s="629"/>
      <c r="H155" s="640"/>
      <c r="I155" s="411"/>
    </row>
    <row r="156">
      <c r="A156" s="578"/>
      <c r="B156" s="638"/>
      <c r="C156" s="639">
        <v>3688.0</v>
      </c>
      <c r="D156" s="639" t="s">
        <v>131</v>
      </c>
      <c r="E156" s="634"/>
      <c r="F156" s="411"/>
      <c r="G156" s="629"/>
      <c r="H156" s="640"/>
      <c r="I156" s="411"/>
    </row>
    <row r="157">
      <c r="A157" s="578"/>
      <c r="B157" s="638"/>
      <c r="C157" s="639">
        <v>1700.0</v>
      </c>
      <c r="D157" s="639" t="s">
        <v>132</v>
      </c>
      <c r="E157" s="634"/>
      <c r="F157" s="411"/>
      <c r="G157" s="629"/>
      <c r="H157" s="640"/>
      <c r="I157" s="411"/>
    </row>
    <row r="158">
      <c r="A158" s="578"/>
      <c r="B158" s="638"/>
      <c r="C158" s="641">
        <v>2264.0</v>
      </c>
      <c r="D158" s="639" t="s">
        <v>133</v>
      </c>
      <c r="E158" s="634"/>
      <c r="F158" s="411"/>
      <c r="G158" s="629"/>
      <c r="H158" s="640"/>
      <c r="I158" s="411"/>
    </row>
    <row r="159">
      <c r="A159" s="578"/>
      <c r="B159" s="638"/>
      <c r="C159" s="641">
        <v>2572.0</v>
      </c>
      <c r="D159" s="639" t="s">
        <v>134</v>
      </c>
      <c r="E159" s="634"/>
      <c r="F159" s="19" t="s">
        <v>325</v>
      </c>
      <c r="G159" s="617" t="s">
        <v>326</v>
      </c>
      <c r="H159" s="640"/>
      <c r="I159" s="411"/>
    </row>
    <row r="160">
      <c r="A160" s="578"/>
      <c r="B160" s="638"/>
      <c r="C160" s="639">
        <v>531.0</v>
      </c>
      <c r="D160" s="639" t="s">
        <v>135</v>
      </c>
      <c r="E160" s="634"/>
      <c r="F160" s="19" t="s">
        <v>327</v>
      </c>
      <c r="G160" s="617" t="s">
        <v>328</v>
      </c>
      <c r="H160" s="640"/>
      <c r="I160" s="411"/>
    </row>
    <row r="161">
      <c r="A161" s="578"/>
      <c r="B161" s="638"/>
      <c r="C161" s="639">
        <v>1800.0</v>
      </c>
      <c r="D161" s="639" t="s">
        <v>136</v>
      </c>
      <c r="E161" s="634"/>
      <c r="F161" s="19" t="s">
        <v>329</v>
      </c>
      <c r="G161" s="617" t="s">
        <v>330</v>
      </c>
      <c r="H161" s="640"/>
      <c r="I161" s="411"/>
    </row>
    <row r="162">
      <c r="A162" s="578"/>
      <c r="B162" s="638"/>
      <c r="C162" s="639">
        <v>2000.0</v>
      </c>
      <c r="D162" s="639" t="s">
        <v>137</v>
      </c>
      <c r="E162" s="634"/>
      <c r="F162" s="642" t="s">
        <v>37</v>
      </c>
      <c r="G162" s="643" t="s">
        <v>331</v>
      </c>
      <c r="H162" s="640"/>
      <c r="I162" s="411"/>
    </row>
    <row r="163">
      <c r="A163" s="578"/>
      <c r="B163" s="638"/>
      <c r="C163" s="641">
        <v>1171.0</v>
      </c>
      <c r="D163" s="639" t="s">
        <v>138</v>
      </c>
      <c r="E163" s="634"/>
      <c r="F163" s="411"/>
      <c r="G163" s="629"/>
      <c r="H163" s="640"/>
      <c r="I163" s="411"/>
    </row>
    <row r="164">
      <c r="A164" s="578"/>
      <c r="B164" s="638"/>
      <c r="C164" s="639">
        <v>2500.0</v>
      </c>
      <c r="D164" s="639" t="s">
        <v>139</v>
      </c>
      <c r="E164" s="634"/>
      <c r="F164" s="411"/>
      <c r="G164" s="629"/>
      <c r="H164" s="640"/>
      <c r="I164" s="411"/>
    </row>
    <row r="165">
      <c r="A165" s="578"/>
      <c r="B165" s="638"/>
      <c r="C165" s="639">
        <v>290.0</v>
      </c>
      <c r="D165" s="639" t="s">
        <v>140</v>
      </c>
      <c r="E165" s="634"/>
      <c r="F165" s="411"/>
      <c r="G165" s="629"/>
      <c r="H165" s="640"/>
      <c r="I165" s="411"/>
    </row>
    <row r="166">
      <c r="A166" s="578"/>
      <c r="B166" s="638"/>
      <c r="C166" s="639">
        <v>350.0</v>
      </c>
      <c r="D166" s="639" t="s">
        <v>141</v>
      </c>
      <c r="E166" s="634"/>
      <c r="F166" s="411"/>
      <c r="G166" s="629"/>
      <c r="H166" s="640"/>
      <c r="I166" s="411"/>
    </row>
    <row r="167">
      <c r="A167" s="578"/>
      <c r="B167" s="638"/>
      <c r="C167" s="639">
        <v>1700.0</v>
      </c>
      <c r="D167" s="639" t="s">
        <v>142</v>
      </c>
      <c r="E167" s="634"/>
      <c r="F167" s="411"/>
      <c r="G167" s="629"/>
      <c r="H167" s="640"/>
      <c r="I167" s="411"/>
    </row>
    <row r="168">
      <c r="A168" s="578"/>
      <c r="B168" s="638"/>
      <c r="C168" s="639">
        <v>20000.0</v>
      </c>
      <c r="D168" s="639" t="s">
        <v>143</v>
      </c>
      <c r="E168" s="634"/>
      <c r="F168" s="411"/>
      <c r="G168" s="629"/>
      <c r="H168" s="640"/>
      <c r="I168" s="411"/>
    </row>
    <row r="169">
      <c r="A169" s="578"/>
      <c r="B169" s="638"/>
      <c r="C169" s="639"/>
      <c r="D169" s="639"/>
      <c r="E169" s="634"/>
      <c r="F169" s="411"/>
      <c r="G169" s="629"/>
      <c r="H169" s="640"/>
      <c r="I169" s="411"/>
    </row>
    <row r="170">
      <c r="A170" s="578"/>
      <c r="B170" s="638"/>
      <c r="C170" s="641"/>
      <c r="D170" s="641"/>
      <c r="E170" s="634"/>
      <c r="F170" s="411"/>
      <c r="G170" s="629"/>
      <c r="H170" s="640"/>
      <c r="I170" s="411"/>
    </row>
    <row r="171">
      <c r="A171" s="578"/>
      <c r="B171" s="638"/>
      <c r="C171" s="641">
        <v>50483.0</v>
      </c>
      <c r="D171" s="641"/>
      <c r="E171" s="634"/>
      <c r="F171" s="411"/>
      <c r="G171" s="629"/>
      <c r="H171" s="640"/>
      <c r="I171" s="411"/>
    </row>
    <row r="172">
      <c r="A172" s="578"/>
      <c r="B172" s="644"/>
      <c r="C172" s="634"/>
      <c r="D172" s="634"/>
      <c r="E172" s="634"/>
      <c r="F172" s="411"/>
      <c r="G172" s="629"/>
      <c r="H172" s="640"/>
      <c r="I172" s="411"/>
    </row>
    <row r="173">
      <c r="A173" s="578"/>
      <c r="B173" s="644"/>
      <c r="C173" s="634"/>
      <c r="D173" s="634"/>
      <c r="E173" s="634"/>
      <c r="F173" s="411"/>
      <c r="G173" s="629"/>
      <c r="H173" s="640"/>
      <c r="I173" s="411"/>
    </row>
    <row r="174">
      <c r="A174" s="583"/>
      <c r="B174" s="645">
        <v>45467.0</v>
      </c>
      <c r="C174" s="646">
        <v>45468.0</v>
      </c>
      <c r="D174" s="646">
        <v>45469.0</v>
      </c>
      <c r="E174" s="646">
        <v>45470.0</v>
      </c>
      <c r="F174" s="411"/>
      <c r="G174" s="629"/>
      <c r="H174" s="640"/>
      <c r="I174" s="411"/>
    </row>
    <row r="175">
      <c r="A175" s="574">
        <v>0.0</v>
      </c>
      <c r="B175" s="647"/>
      <c r="C175" s="648"/>
      <c r="D175" s="649"/>
      <c r="E175" s="648"/>
      <c r="F175" s="34"/>
      <c r="G175" s="617"/>
      <c r="H175" s="618" t="s">
        <v>332</v>
      </c>
      <c r="I175" s="34">
        <v>11500.0</v>
      </c>
    </row>
    <row r="176">
      <c r="A176" s="574">
        <v>0.041666666666666664</v>
      </c>
      <c r="B176" s="647"/>
      <c r="C176" s="648"/>
      <c r="D176" s="649"/>
      <c r="E176" s="648"/>
      <c r="F176" s="411"/>
      <c r="G176" s="629"/>
      <c r="H176" s="618" t="s">
        <v>333</v>
      </c>
      <c r="I176" s="34">
        <v>4000.0</v>
      </c>
    </row>
    <row r="177">
      <c r="A177" s="574">
        <v>0.08333333333333333</v>
      </c>
      <c r="B177" s="647"/>
      <c r="C177" s="648"/>
      <c r="D177" s="649"/>
      <c r="E177" s="648"/>
      <c r="F177" s="411"/>
      <c r="G177" s="629"/>
      <c r="H177" s="618" t="s">
        <v>334</v>
      </c>
      <c r="I177" s="34">
        <v>300.0</v>
      </c>
    </row>
    <row r="178">
      <c r="A178" s="574">
        <v>0.125</v>
      </c>
      <c r="B178" s="647"/>
      <c r="C178" s="648"/>
      <c r="D178" s="649"/>
      <c r="E178" s="648"/>
      <c r="F178" s="411"/>
      <c r="G178" s="629"/>
      <c r="H178" s="618" t="s">
        <v>335</v>
      </c>
      <c r="I178" s="34">
        <v>100.0</v>
      </c>
    </row>
    <row r="179">
      <c r="A179" s="574">
        <v>0.16666666666666666</v>
      </c>
      <c r="B179" s="647"/>
      <c r="C179" s="648"/>
      <c r="D179" s="649"/>
      <c r="E179" s="648"/>
      <c r="F179" s="411"/>
      <c r="G179" s="629"/>
      <c r="H179" s="618" t="s">
        <v>336</v>
      </c>
      <c r="I179" s="34">
        <v>1000.0</v>
      </c>
    </row>
    <row r="180">
      <c r="A180" s="574">
        <v>0.20833333333333334</v>
      </c>
      <c r="B180" s="647"/>
      <c r="C180" s="650" t="s">
        <v>337</v>
      </c>
      <c r="D180" s="649"/>
      <c r="E180" s="648"/>
      <c r="F180" s="411"/>
      <c r="G180" s="629"/>
      <c r="H180" s="618" t="s">
        <v>338</v>
      </c>
      <c r="I180" s="34">
        <v>1600.0</v>
      </c>
    </row>
    <row r="181">
      <c r="A181" s="574">
        <v>0.25</v>
      </c>
      <c r="B181" s="647"/>
      <c r="C181" s="648"/>
      <c r="D181" s="649"/>
      <c r="E181" s="650" t="s">
        <v>339</v>
      </c>
      <c r="F181" s="411"/>
      <c r="G181" s="629"/>
      <c r="H181" s="618" t="s">
        <v>340</v>
      </c>
      <c r="I181" s="34">
        <v>280.0</v>
      </c>
    </row>
    <row r="182">
      <c r="A182" s="574">
        <v>0.2916666666666667</v>
      </c>
      <c r="B182" s="647"/>
      <c r="C182" s="651" t="s">
        <v>283</v>
      </c>
      <c r="D182" s="651" t="s">
        <v>283</v>
      </c>
      <c r="E182" s="652" t="s">
        <v>341</v>
      </c>
      <c r="F182" s="411"/>
      <c r="G182" s="629"/>
      <c r="H182" s="618" t="s">
        <v>342</v>
      </c>
      <c r="I182" s="34">
        <v>700.0</v>
      </c>
    </row>
    <row r="183">
      <c r="A183" s="574">
        <v>0.3333333333333333</v>
      </c>
      <c r="B183" s="647"/>
      <c r="C183" s="653" t="s">
        <v>343</v>
      </c>
      <c r="D183" s="649"/>
      <c r="E183" s="654"/>
      <c r="F183" s="411"/>
      <c r="G183" s="629"/>
      <c r="H183" s="618" t="s">
        <v>344</v>
      </c>
      <c r="I183" s="34">
        <v>150.0</v>
      </c>
    </row>
    <row r="184">
      <c r="A184" s="574">
        <v>0.375</v>
      </c>
      <c r="B184" s="647"/>
      <c r="C184" s="653" t="s">
        <v>345</v>
      </c>
      <c r="D184" s="649"/>
      <c r="E184" s="654"/>
      <c r="F184" s="411"/>
      <c r="G184" s="629"/>
      <c r="H184" s="618" t="s">
        <v>346</v>
      </c>
      <c r="I184" s="34">
        <v>220.0</v>
      </c>
    </row>
    <row r="185">
      <c r="A185" s="574">
        <v>0.4166666666666667</v>
      </c>
      <c r="B185" s="647"/>
      <c r="C185" s="652" t="s">
        <v>347</v>
      </c>
      <c r="D185" s="649"/>
      <c r="E185" s="654"/>
      <c r="F185" s="411"/>
      <c r="G185" s="629"/>
      <c r="H185" s="618" t="s">
        <v>348</v>
      </c>
      <c r="I185" s="34">
        <v>1300.0</v>
      </c>
    </row>
    <row r="186">
      <c r="A186" s="574">
        <v>0.4583333333333333</v>
      </c>
      <c r="B186" s="647"/>
      <c r="C186" s="651" t="s">
        <v>287</v>
      </c>
      <c r="D186" s="655" t="s">
        <v>349</v>
      </c>
      <c r="E186" s="654"/>
      <c r="F186" s="411"/>
      <c r="G186" s="629"/>
      <c r="H186" s="618" t="s">
        <v>350</v>
      </c>
      <c r="I186" s="34">
        <v>800.0</v>
      </c>
    </row>
    <row r="187">
      <c r="A187" s="574">
        <v>0.5</v>
      </c>
      <c r="B187" s="647"/>
      <c r="C187" s="653" t="s">
        <v>351</v>
      </c>
      <c r="D187" s="651" t="s">
        <v>287</v>
      </c>
      <c r="E187" s="654"/>
      <c r="F187" s="411"/>
      <c r="G187" s="629"/>
      <c r="H187" s="618" t="s">
        <v>352</v>
      </c>
      <c r="I187" s="34">
        <v>680.0</v>
      </c>
    </row>
    <row r="188">
      <c r="A188" s="574">
        <v>0.5416666666666666</v>
      </c>
      <c r="B188" s="647"/>
      <c r="C188" s="653"/>
      <c r="D188" s="656" t="s">
        <v>353</v>
      </c>
      <c r="E188" s="654"/>
      <c r="F188" s="411"/>
      <c r="G188" s="657"/>
      <c r="H188" s="618" t="s">
        <v>354</v>
      </c>
      <c r="I188" s="34">
        <v>260.0</v>
      </c>
    </row>
    <row r="189">
      <c r="A189" s="574">
        <v>0.5833333333333334</v>
      </c>
      <c r="B189" s="647"/>
      <c r="C189" s="658"/>
      <c r="D189" s="659"/>
      <c r="E189" s="654"/>
      <c r="F189" s="411"/>
      <c r="G189" s="657"/>
      <c r="H189" s="618" t="s">
        <v>355</v>
      </c>
      <c r="I189" s="34">
        <v>180.0</v>
      </c>
    </row>
    <row r="190">
      <c r="A190" s="574">
        <v>0.625</v>
      </c>
      <c r="B190" s="647"/>
      <c r="C190" s="655" t="s">
        <v>356</v>
      </c>
      <c r="D190" s="659"/>
      <c r="E190" s="654"/>
      <c r="F190" s="411"/>
      <c r="G190" s="657"/>
      <c r="H190" s="618" t="s">
        <v>357</v>
      </c>
      <c r="I190" s="34">
        <v>50.0</v>
      </c>
    </row>
    <row r="191">
      <c r="A191" s="574">
        <v>0.6666666666666666</v>
      </c>
      <c r="B191" s="647"/>
      <c r="C191" s="649"/>
      <c r="D191" s="659"/>
      <c r="E191" s="654"/>
      <c r="F191" s="411"/>
      <c r="G191" s="629"/>
      <c r="H191" s="618" t="s">
        <v>358</v>
      </c>
      <c r="I191" s="34">
        <v>120.0</v>
      </c>
    </row>
    <row r="192">
      <c r="A192" s="574">
        <v>0.7083333333333334</v>
      </c>
      <c r="B192" s="660" t="s">
        <v>359</v>
      </c>
      <c r="C192" s="649"/>
      <c r="D192" s="659"/>
      <c r="E192" s="654"/>
      <c r="F192" s="411"/>
      <c r="G192" s="629"/>
      <c r="H192" s="618" t="s">
        <v>360</v>
      </c>
      <c r="I192" s="34">
        <v>2400.0</v>
      </c>
    </row>
    <row r="193">
      <c r="A193" s="574">
        <v>0.75</v>
      </c>
      <c r="B193" s="661"/>
      <c r="C193" s="649"/>
      <c r="D193" s="650" t="s">
        <v>359</v>
      </c>
      <c r="E193" s="654"/>
      <c r="F193" s="411"/>
      <c r="G193" s="629"/>
      <c r="H193" s="618" t="s">
        <v>361</v>
      </c>
      <c r="I193" s="34">
        <v>80.0</v>
      </c>
    </row>
    <row r="194">
      <c r="A194" s="574">
        <v>0.7916666666666666</v>
      </c>
      <c r="B194" s="660" t="s">
        <v>362</v>
      </c>
      <c r="C194" s="651" t="s">
        <v>290</v>
      </c>
      <c r="D194" s="651" t="s">
        <v>290</v>
      </c>
      <c r="E194" s="654"/>
      <c r="F194" s="411"/>
      <c r="G194" s="617">
        <v>11500.0</v>
      </c>
      <c r="H194" s="618" t="s">
        <v>363</v>
      </c>
      <c r="I194" s="34">
        <v>500.0</v>
      </c>
    </row>
    <row r="195">
      <c r="A195" s="574">
        <v>0.8333333333333334</v>
      </c>
      <c r="B195" s="662"/>
      <c r="C195" s="649"/>
      <c r="D195" s="648"/>
      <c r="E195" s="654"/>
      <c r="F195" s="411"/>
      <c r="G195" s="617">
        <v>4020.0</v>
      </c>
      <c r="H195" s="640"/>
      <c r="I195" s="411">
        <f>SUM(I175:I194)</f>
        <v>26220</v>
      </c>
    </row>
    <row r="196">
      <c r="A196" s="574">
        <v>0.875</v>
      </c>
      <c r="B196" s="662"/>
      <c r="C196" s="649"/>
      <c r="D196" s="648"/>
      <c r="E196" s="654"/>
      <c r="F196" s="411"/>
      <c r="G196" s="629">
        <f>SUM(G194:G195)</f>
        <v>15520</v>
      </c>
      <c r="H196" s="640"/>
      <c r="I196" s="411"/>
    </row>
    <row r="197">
      <c r="A197" s="574">
        <v>0.9166666666666666</v>
      </c>
      <c r="B197" s="662"/>
      <c r="C197" s="649"/>
      <c r="D197" s="648"/>
      <c r="E197" s="654"/>
      <c r="F197" s="411"/>
      <c r="G197" s="629">
        <f>I195-G196</f>
        <v>10700</v>
      </c>
      <c r="H197" s="640"/>
      <c r="I197" s="411"/>
    </row>
    <row r="198">
      <c r="A198" s="574">
        <v>0.9583333333333334</v>
      </c>
      <c r="B198" s="662"/>
      <c r="C198" s="649"/>
      <c r="D198" s="648"/>
      <c r="E198" s="654"/>
      <c r="F198" s="411"/>
      <c r="G198" s="629"/>
      <c r="H198" s="640"/>
      <c r="I198" s="411"/>
    </row>
    <row r="199">
      <c r="A199" s="574">
        <v>1.0</v>
      </c>
      <c r="B199" s="662"/>
      <c r="C199" s="649"/>
      <c r="D199" s="648"/>
      <c r="E199" s="654"/>
      <c r="F199" s="411"/>
      <c r="G199" s="629"/>
      <c r="H199" s="640"/>
      <c r="I199" s="411"/>
    </row>
    <row r="200">
      <c r="A200" s="550"/>
      <c r="B200" s="63"/>
      <c r="C200" s="579"/>
      <c r="D200" s="579"/>
      <c r="E200" s="452"/>
      <c r="F200" s="579"/>
      <c r="G200" s="657"/>
      <c r="H200" s="640"/>
      <c r="I200" s="411"/>
    </row>
    <row r="201">
      <c r="A201" s="663"/>
      <c r="B201" s="584">
        <v>45371.0</v>
      </c>
      <c r="C201" s="585">
        <v>45372.0</v>
      </c>
      <c r="D201" s="585">
        <v>45373.0</v>
      </c>
      <c r="E201" s="585">
        <v>45374.0</v>
      </c>
      <c r="F201" s="585">
        <v>45375.0</v>
      </c>
      <c r="G201" s="664">
        <v>45376.0</v>
      </c>
      <c r="H201" s="105" t="s">
        <v>364</v>
      </c>
      <c r="I201" s="19">
        <v>350.0</v>
      </c>
    </row>
    <row r="202">
      <c r="A202" s="665">
        <v>0.0</v>
      </c>
      <c r="B202" s="587"/>
      <c r="C202" s="588"/>
      <c r="D202" s="588"/>
      <c r="E202" s="588"/>
      <c r="F202" s="588"/>
      <c r="G202" s="666"/>
      <c r="H202" s="105" t="s">
        <v>365</v>
      </c>
      <c r="I202" s="402">
        <v>11000.0</v>
      </c>
    </row>
    <row r="203">
      <c r="A203" s="665">
        <v>0.041666666666666664</v>
      </c>
      <c r="B203" s="587"/>
      <c r="C203" s="588"/>
      <c r="D203" s="588"/>
      <c r="E203" s="588"/>
      <c r="F203" s="588"/>
      <c r="G203" s="666"/>
      <c r="H203" s="105" t="s">
        <v>366</v>
      </c>
      <c r="I203" s="19">
        <v>450.0</v>
      </c>
    </row>
    <row r="204">
      <c r="A204" s="665">
        <v>0.08333333333333333</v>
      </c>
      <c r="B204" s="587"/>
      <c r="C204" s="588"/>
      <c r="D204" s="588"/>
      <c r="E204" s="588"/>
      <c r="F204" s="588"/>
      <c r="G204" s="666"/>
      <c r="H204" s="105" t="s">
        <v>367</v>
      </c>
      <c r="I204" s="19">
        <v>350.0</v>
      </c>
    </row>
    <row r="205">
      <c r="A205" s="665">
        <v>0.125</v>
      </c>
      <c r="B205" s="587"/>
      <c r="C205" s="588"/>
      <c r="D205" s="588"/>
      <c r="E205" s="588"/>
      <c r="F205" s="588"/>
      <c r="G205" s="666"/>
      <c r="H205" s="105" t="s">
        <v>368</v>
      </c>
      <c r="I205" s="19">
        <v>80.0</v>
      </c>
    </row>
    <row r="206">
      <c r="A206" s="665">
        <v>0.16666666666666666</v>
      </c>
      <c r="B206" s="587"/>
      <c r="C206" s="592" t="s">
        <v>369</v>
      </c>
      <c r="D206" s="588"/>
      <c r="E206" s="625"/>
      <c r="F206" s="625"/>
      <c r="G206" s="667"/>
      <c r="H206" s="105" t="s">
        <v>370</v>
      </c>
      <c r="I206" s="19">
        <v>820.0</v>
      </c>
    </row>
    <row r="207">
      <c r="A207" s="665">
        <v>0.20833333333333334</v>
      </c>
      <c r="B207" s="587"/>
      <c r="C207" s="626"/>
      <c r="D207" s="592" t="s">
        <v>371</v>
      </c>
      <c r="E207" s="625"/>
      <c r="F207" s="625"/>
      <c r="G207" s="667"/>
      <c r="H207" s="105" t="s">
        <v>372</v>
      </c>
      <c r="I207" s="19">
        <v>100.0</v>
      </c>
    </row>
    <row r="208">
      <c r="A208" s="665">
        <v>0.25</v>
      </c>
      <c r="B208" s="587"/>
      <c r="C208" s="626"/>
      <c r="D208" s="626"/>
      <c r="E208" s="627"/>
      <c r="F208" s="627" t="s">
        <v>373</v>
      </c>
      <c r="G208" s="667"/>
      <c r="H208" s="105" t="s">
        <v>374</v>
      </c>
      <c r="I208" s="402">
        <v>1500.0</v>
      </c>
    </row>
    <row r="209">
      <c r="A209" s="665">
        <v>0.2916666666666667</v>
      </c>
      <c r="B209" s="587"/>
      <c r="C209" s="596" t="s">
        <v>283</v>
      </c>
      <c r="D209" s="596" t="s">
        <v>375</v>
      </c>
      <c r="E209" s="596" t="s">
        <v>283</v>
      </c>
      <c r="F209" s="596" t="s">
        <v>283</v>
      </c>
      <c r="G209" s="668" t="s">
        <v>283</v>
      </c>
      <c r="H209" s="105" t="s">
        <v>376</v>
      </c>
      <c r="I209" s="19">
        <v>350.0</v>
      </c>
    </row>
    <row r="210">
      <c r="A210" s="665">
        <v>0.3333333333333333</v>
      </c>
      <c r="B210" s="587"/>
      <c r="C210" s="620" t="s">
        <v>377</v>
      </c>
      <c r="D210" s="592"/>
      <c r="E210" s="625"/>
      <c r="F210" s="621" t="s">
        <v>298</v>
      </c>
      <c r="G210" s="667"/>
      <c r="H210" s="105" t="s">
        <v>378</v>
      </c>
      <c r="I210" s="19">
        <v>3100.0</v>
      </c>
    </row>
    <row r="211">
      <c r="A211" s="665">
        <v>0.375</v>
      </c>
      <c r="B211" s="587"/>
      <c r="C211" s="623"/>
      <c r="D211" s="627" t="s">
        <v>379</v>
      </c>
      <c r="E211" s="452"/>
      <c r="F211" s="621"/>
      <c r="G211" s="667"/>
      <c r="H211" s="105" t="s">
        <v>380</v>
      </c>
      <c r="I211" s="402">
        <v>2500.0</v>
      </c>
    </row>
    <row r="212">
      <c r="A212" s="665">
        <v>0.4166666666666667</v>
      </c>
      <c r="B212" s="587"/>
      <c r="C212" s="623"/>
      <c r="D212" s="627" t="s">
        <v>381</v>
      </c>
      <c r="E212" s="627" t="s">
        <v>382</v>
      </c>
      <c r="F212" s="624"/>
      <c r="G212" s="667"/>
      <c r="H212" s="105" t="s">
        <v>383</v>
      </c>
      <c r="I212" s="19">
        <v>3000.0</v>
      </c>
    </row>
    <row r="213">
      <c r="A213" s="665">
        <v>0.4583333333333333</v>
      </c>
      <c r="B213" s="587"/>
      <c r="C213" s="623"/>
      <c r="D213" s="627" t="s">
        <v>384</v>
      </c>
      <c r="E213" s="625"/>
      <c r="F213" s="624"/>
      <c r="G213" s="667"/>
      <c r="H213" s="105" t="s">
        <v>385</v>
      </c>
      <c r="I213" s="19">
        <v>3000.0</v>
      </c>
    </row>
    <row r="214">
      <c r="A214" s="665">
        <v>0.5</v>
      </c>
      <c r="B214" s="587"/>
      <c r="C214" s="603" t="s">
        <v>287</v>
      </c>
      <c r="D214" s="596" t="s">
        <v>386</v>
      </c>
      <c r="E214" s="596" t="s">
        <v>387</v>
      </c>
      <c r="F214" s="596" t="s">
        <v>388</v>
      </c>
      <c r="G214" s="668" t="s">
        <v>287</v>
      </c>
      <c r="H214" s="105" t="s">
        <v>389</v>
      </c>
      <c r="I214" s="19">
        <v>899.0</v>
      </c>
    </row>
    <row r="215">
      <c r="A215" s="665">
        <v>0.5416666666666666</v>
      </c>
      <c r="B215" s="587"/>
      <c r="C215" s="623"/>
      <c r="D215" s="627"/>
      <c r="E215" s="669" t="s">
        <v>390</v>
      </c>
      <c r="F215" s="627"/>
      <c r="G215" s="667"/>
      <c r="H215" s="105" t="s">
        <v>391</v>
      </c>
      <c r="I215" s="19">
        <v>600.0</v>
      </c>
    </row>
    <row r="216">
      <c r="A216" s="665">
        <v>0.5833333333333334</v>
      </c>
      <c r="B216" s="587"/>
      <c r="C216" s="620"/>
      <c r="D216" s="627" t="s">
        <v>392</v>
      </c>
      <c r="E216" s="592" t="s">
        <v>393</v>
      </c>
      <c r="F216" s="625"/>
      <c r="G216" s="657"/>
      <c r="H216" s="105" t="s">
        <v>394</v>
      </c>
      <c r="I216" s="19">
        <v>800.0</v>
      </c>
    </row>
    <row r="217">
      <c r="A217" s="665">
        <v>0.625</v>
      </c>
      <c r="B217" s="587"/>
      <c r="C217" s="592" t="s">
        <v>395</v>
      </c>
      <c r="D217" s="627" t="s">
        <v>396</v>
      </c>
      <c r="E217" s="626"/>
      <c r="F217" s="625"/>
      <c r="G217" s="657"/>
      <c r="H217" s="105" t="s">
        <v>397</v>
      </c>
      <c r="I217" s="19">
        <v>220.0</v>
      </c>
    </row>
    <row r="218">
      <c r="A218" s="665">
        <v>0.6666666666666666</v>
      </c>
      <c r="B218" s="587"/>
      <c r="C218" s="626"/>
      <c r="D218" s="627" t="s">
        <v>396</v>
      </c>
      <c r="E218" s="626"/>
      <c r="F218" s="625"/>
      <c r="G218" s="670" t="s">
        <v>289</v>
      </c>
      <c r="H218" s="105" t="s">
        <v>398</v>
      </c>
      <c r="I218" s="19">
        <v>120.0</v>
      </c>
    </row>
    <row r="219">
      <c r="A219" s="665">
        <v>0.7083333333333334</v>
      </c>
      <c r="B219" s="593" t="s">
        <v>281</v>
      </c>
      <c r="C219" s="626"/>
      <c r="D219" s="627" t="s">
        <v>396</v>
      </c>
      <c r="E219" s="626"/>
      <c r="F219" s="627" t="s">
        <v>399</v>
      </c>
      <c r="G219" s="671"/>
      <c r="H219" s="105" t="s">
        <v>400</v>
      </c>
      <c r="I219" s="19">
        <v>510.0</v>
      </c>
    </row>
    <row r="220">
      <c r="A220" s="665">
        <v>0.75</v>
      </c>
      <c r="B220" s="595"/>
      <c r="C220" s="625"/>
      <c r="D220" s="627" t="s">
        <v>401</v>
      </c>
      <c r="E220" s="627" t="s">
        <v>285</v>
      </c>
      <c r="F220" s="625"/>
      <c r="G220" s="671"/>
      <c r="H220" s="105" t="s">
        <v>364</v>
      </c>
      <c r="I220" s="19">
        <v>410.0</v>
      </c>
    </row>
    <row r="221">
      <c r="A221" s="665">
        <v>0.7916666666666666</v>
      </c>
      <c r="B221" s="593" t="s">
        <v>284</v>
      </c>
      <c r="C221" s="603" t="s">
        <v>290</v>
      </c>
      <c r="D221" s="603" t="s">
        <v>402</v>
      </c>
      <c r="E221" s="603" t="s">
        <v>290</v>
      </c>
      <c r="F221" s="603" t="s">
        <v>290</v>
      </c>
      <c r="G221" s="670" t="s">
        <v>291</v>
      </c>
      <c r="H221" s="105" t="s">
        <v>403</v>
      </c>
      <c r="I221" s="19">
        <v>450.0</v>
      </c>
    </row>
    <row r="222">
      <c r="A222" s="665">
        <v>0.8333333333333334</v>
      </c>
      <c r="B222" s="602" t="s">
        <v>290</v>
      </c>
      <c r="C222" s="625"/>
      <c r="D222" s="672" t="s">
        <v>404</v>
      </c>
      <c r="E222" s="625"/>
      <c r="F222" s="627"/>
      <c r="G222" s="671"/>
      <c r="H222" s="105" t="s">
        <v>405</v>
      </c>
      <c r="I222" s="19">
        <v>480.0</v>
      </c>
    </row>
    <row r="223">
      <c r="A223" s="665">
        <v>0.875</v>
      </c>
      <c r="B223" s="673"/>
      <c r="C223" s="625"/>
      <c r="D223" s="627"/>
      <c r="E223" s="627" t="s">
        <v>406</v>
      </c>
      <c r="F223" s="625"/>
      <c r="G223" s="670" t="s">
        <v>311</v>
      </c>
      <c r="H223" s="618" t="s">
        <v>407</v>
      </c>
      <c r="I223" s="34">
        <v>500.0</v>
      </c>
    </row>
    <row r="224">
      <c r="A224" s="665">
        <v>0.9166666666666666</v>
      </c>
      <c r="B224" s="601" t="s">
        <v>408</v>
      </c>
      <c r="C224" s="613" t="s">
        <v>409</v>
      </c>
      <c r="D224" s="627" t="s">
        <v>410</v>
      </c>
      <c r="E224" s="625"/>
      <c r="F224" s="625"/>
      <c r="G224" s="674"/>
      <c r="H224" s="618" t="s">
        <v>411</v>
      </c>
      <c r="I224" s="34">
        <v>420.0</v>
      </c>
    </row>
    <row r="225">
      <c r="A225" s="665">
        <v>0.9583333333333334</v>
      </c>
      <c r="B225" s="675"/>
      <c r="C225" s="588"/>
      <c r="D225" s="613" t="s">
        <v>412</v>
      </c>
      <c r="E225" s="625"/>
      <c r="F225" s="625"/>
      <c r="G225" s="674"/>
      <c r="H225" s="618" t="s">
        <v>413</v>
      </c>
      <c r="I225" s="34">
        <v>350.0</v>
      </c>
    </row>
    <row r="226">
      <c r="A226" s="665">
        <v>1.0</v>
      </c>
      <c r="B226" s="601"/>
      <c r="C226" s="613"/>
      <c r="D226" s="613"/>
      <c r="E226" s="625"/>
      <c r="F226" s="625"/>
      <c r="G226" s="674"/>
      <c r="H226" s="618" t="s">
        <v>414</v>
      </c>
      <c r="I226" s="34">
        <v>210.0</v>
      </c>
    </row>
    <row r="227">
      <c r="A227" s="550"/>
      <c r="B227" s="63"/>
      <c r="C227" s="579"/>
      <c r="D227" s="579"/>
      <c r="E227" s="452"/>
      <c r="F227" s="452"/>
      <c r="G227" s="657"/>
      <c r="H227" s="618" t="s">
        <v>415</v>
      </c>
      <c r="I227" s="34">
        <v>191.0</v>
      </c>
    </row>
    <row r="228">
      <c r="A228" s="19" t="s">
        <v>416</v>
      </c>
      <c r="B228" s="63"/>
      <c r="C228" s="579"/>
      <c r="D228" s="579"/>
      <c r="E228" s="452"/>
      <c r="F228" s="452"/>
      <c r="G228" s="657"/>
      <c r="H228" s="618" t="s">
        <v>417</v>
      </c>
      <c r="I228" s="34">
        <v>300.0</v>
      </c>
    </row>
    <row r="229">
      <c r="A229" s="550"/>
      <c r="B229" s="601" t="s">
        <v>418</v>
      </c>
      <c r="C229" s="603" t="s">
        <v>419</v>
      </c>
      <c r="D229" s="620" t="s">
        <v>377</v>
      </c>
      <c r="E229" s="452"/>
      <c r="F229" s="579"/>
      <c r="G229" s="657"/>
      <c r="H229" s="618" t="s">
        <v>420</v>
      </c>
      <c r="I229" s="34">
        <v>270.0</v>
      </c>
    </row>
    <row r="230">
      <c r="A230" s="550"/>
      <c r="B230" s="593" t="s">
        <v>421</v>
      </c>
      <c r="C230" s="621" t="s">
        <v>298</v>
      </c>
      <c r="D230" s="579"/>
      <c r="E230" s="452"/>
      <c r="F230" s="579"/>
      <c r="G230" s="657"/>
      <c r="H230" s="618" t="s">
        <v>422</v>
      </c>
      <c r="I230" s="34">
        <v>340.0</v>
      </c>
    </row>
    <row r="231">
      <c r="A231" s="550"/>
      <c r="B231" s="63"/>
      <c r="C231" s="579"/>
      <c r="D231" s="579"/>
      <c r="E231" s="452"/>
      <c r="F231" s="579"/>
      <c r="G231" s="657"/>
      <c r="H231" s="618" t="s">
        <v>423</v>
      </c>
      <c r="I231" s="34">
        <v>1000.0</v>
      </c>
    </row>
    <row r="232">
      <c r="A232" s="550"/>
      <c r="B232" s="63"/>
      <c r="C232" s="579"/>
      <c r="D232" s="579"/>
      <c r="E232" s="452"/>
      <c r="F232" s="579"/>
      <c r="G232" s="657"/>
      <c r="H232" s="618" t="s">
        <v>424</v>
      </c>
      <c r="I232" s="34">
        <v>500.0</v>
      </c>
    </row>
    <row r="233">
      <c r="A233" s="550"/>
      <c r="B233" s="63"/>
      <c r="C233" s="579"/>
      <c r="D233" s="579"/>
      <c r="E233" s="452"/>
      <c r="F233" s="579"/>
      <c r="G233" s="657"/>
      <c r="H233" s="618" t="s">
        <v>425</v>
      </c>
      <c r="I233" s="34">
        <v>1256.0</v>
      </c>
    </row>
    <row r="234">
      <c r="A234" s="550"/>
      <c r="B234" s="63"/>
      <c r="C234" s="579"/>
      <c r="D234" s="579"/>
      <c r="E234" s="452"/>
      <c r="F234" s="579"/>
      <c r="G234" s="657"/>
      <c r="H234" s="676"/>
      <c r="I234" s="677">
        <f>SUM(I201:I233)</f>
        <v>36426</v>
      </c>
    </row>
    <row r="235">
      <c r="A235" s="550"/>
      <c r="B235" s="63"/>
      <c r="C235" s="579"/>
      <c r="D235" s="579"/>
      <c r="E235" s="452"/>
      <c r="F235" s="579"/>
      <c r="G235" s="657"/>
      <c r="H235" s="640"/>
      <c r="I235" s="411"/>
    </row>
    <row r="236">
      <c r="A236" s="583"/>
      <c r="B236" s="678">
        <v>45596.0</v>
      </c>
      <c r="C236" s="679">
        <v>45597.0</v>
      </c>
      <c r="D236" s="679">
        <v>45598.0</v>
      </c>
      <c r="E236" s="579" t="s">
        <v>139</v>
      </c>
      <c r="F236" s="579">
        <v>510.0</v>
      </c>
      <c r="G236" s="657"/>
      <c r="H236" s="640"/>
      <c r="I236" s="411"/>
    </row>
    <row r="237">
      <c r="A237" s="680">
        <v>0.0</v>
      </c>
      <c r="B237" s="681"/>
      <c r="C237" s="682"/>
      <c r="D237" s="682"/>
      <c r="E237" s="579" t="s">
        <v>115</v>
      </c>
      <c r="F237" s="579">
        <v>1000.0</v>
      </c>
      <c r="G237" s="657"/>
      <c r="H237" s="640"/>
      <c r="I237" s="411"/>
    </row>
    <row r="238">
      <c r="A238" s="680">
        <v>0.041666666666666664</v>
      </c>
      <c r="B238" s="681"/>
      <c r="C238" s="682"/>
      <c r="D238" s="682"/>
      <c r="E238" s="579" t="s">
        <v>426</v>
      </c>
      <c r="F238" s="579">
        <v>800.0</v>
      </c>
      <c r="G238" s="657"/>
      <c r="H238" s="640"/>
      <c r="I238" s="411"/>
    </row>
    <row r="239">
      <c r="A239" s="680">
        <v>0.08333333333333333</v>
      </c>
      <c r="B239" s="681"/>
      <c r="C239" s="682"/>
      <c r="D239" s="682"/>
      <c r="E239" s="579" t="s">
        <v>427</v>
      </c>
      <c r="F239" s="579">
        <f>1800+150+150</f>
        <v>2100</v>
      </c>
      <c r="G239" s="657"/>
      <c r="H239" s="640"/>
      <c r="I239" s="411"/>
    </row>
    <row r="240">
      <c r="A240" s="680">
        <v>0.125</v>
      </c>
      <c r="B240" s="681"/>
      <c r="C240" s="682"/>
      <c r="D240" s="682"/>
      <c r="E240" s="579" t="s">
        <v>428</v>
      </c>
      <c r="F240" s="579">
        <v>700.0</v>
      </c>
      <c r="G240" s="657"/>
      <c r="H240" s="640"/>
      <c r="I240" s="411"/>
    </row>
    <row r="241">
      <c r="A241" s="680">
        <v>0.16666666666666666</v>
      </c>
      <c r="B241" s="681"/>
      <c r="C241" s="683" t="s">
        <v>429</v>
      </c>
      <c r="D241" s="682"/>
      <c r="E241" s="579" t="s">
        <v>430</v>
      </c>
      <c r="F241" s="579">
        <v>300.0</v>
      </c>
      <c r="G241" s="657"/>
      <c r="H241" s="640"/>
      <c r="I241" s="411"/>
    </row>
    <row r="242">
      <c r="A242" s="680">
        <v>0.20833333333333334</v>
      </c>
      <c r="B242" s="681"/>
      <c r="C242" s="684"/>
      <c r="D242" s="685" t="s">
        <v>371</v>
      </c>
      <c r="E242" s="579" t="s">
        <v>431</v>
      </c>
      <c r="F242" s="579">
        <v>1000.0</v>
      </c>
      <c r="G242" s="657"/>
      <c r="H242" s="640"/>
      <c r="I242" s="411"/>
    </row>
    <row r="243">
      <c r="A243" s="680">
        <v>0.25</v>
      </c>
      <c r="B243" s="681"/>
      <c r="C243" s="684"/>
      <c r="D243" s="684"/>
      <c r="E243" s="579" t="s">
        <v>432</v>
      </c>
      <c r="F243" s="579">
        <v>2500.0</v>
      </c>
      <c r="G243" s="657"/>
      <c r="H243" s="640"/>
      <c r="I243" s="411"/>
    </row>
    <row r="244">
      <c r="A244" s="680">
        <v>0.2916666666666667</v>
      </c>
      <c r="B244" s="681"/>
      <c r="C244" s="686" t="s">
        <v>283</v>
      </c>
      <c r="D244" s="687" t="s">
        <v>433</v>
      </c>
      <c r="E244" s="579" t="s">
        <v>434</v>
      </c>
      <c r="F244" s="579">
        <v>50.0</v>
      </c>
      <c r="G244" s="657"/>
      <c r="H244" s="640"/>
      <c r="I244" s="411"/>
    </row>
    <row r="245">
      <c r="A245" s="680">
        <v>0.3333333333333333</v>
      </c>
      <c r="B245" s="681"/>
      <c r="C245" s="683" t="s">
        <v>435</v>
      </c>
      <c r="D245" s="684"/>
      <c r="E245" s="579" t="s">
        <v>436</v>
      </c>
      <c r="F245" s="579">
        <v>310.0</v>
      </c>
      <c r="G245" s="657"/>
      <c r="H245" s="640"/>
      <c r="I245" s="411"/>
    </row>
    <row r="246">
      <c r="A246" s="680">
        <v>0.375</v>
      </c>
      <c r="B246" s="681"/>
      <c r="C246" s="688"/>
      <c r="D246" s="689" t="s">
        <v>437</v>
      </c>
      <c r="E246" s="579" t="s">
        <v>438</v>
      </c>
      <c r="F246" s="579">
        <v>475.0</v>
      </c>
      <c r="G246" s="657"/>
      <c r="H246" s="640"/>
      <c r="I246" s="411"/>
    </row>
    <row r="247">
      <c r="A247" s="680">
        <v>0.4166666666666667</v>
      </c>
      <c r="B247" s="681"/>
      <c r="C247" s="688"/>
      <c r="D247" s="688"/>
      <c r="E247" s="579" t="s">
        <v>439</v>
      </c>
      <c r="F247" s="579">
        <v>222.0</v>
      </c>
      <c r="G247" s="657"/>
      <c r="H247" s="640"/>
      <c r="I247" s="411"/>
    </row>
    <row r="248">
      <c r="A248" s="680">
        <v>0.4583333333333333</v>
      </c>
      <c r="B248" s="681"/>
      <c r="C248" s="690" t="s">
        <v>392</v>
      </c>
      <c r="D248" s="690" t="s">
        <v>440</v>
      </c>
      <c r="E248" s="579" t="s">
        <v>441</v>
      </c>
      <c r="F248" s="579">
        <v>579.0</v>
      </c>
      <c r="G248" s="657"/>
      <c r="H248" s="640"/>
      <c r="I248" s="411"/>
    </row>
    <row r="249">
      <c r="A249" s="680">
        <v>0.5</v>
      </c>
      <c r="B249" s="681"/>
      <c r="C249" s="691" t="s">
        <v>287</v>
      </c>
      <c r="D249" s="691" t="s">
        <v>287</v>
      </c>
      <c r="E249" s="579" t="s">
        <v>442</v>
      </c>
      <c r="F249" s="579">
        <v>274.0</v>
      </c>
      <c r="G249" s="657"/>
      <c r="H249" s="640"/>
      <c r="I249" s="411"/>
    </row>
    <row r="250">
      <c r="A250" s="680">
        <v>0.5416666666666666</v>
      </c>
      <c r="B250" s="681"/>
      <c r="C250" s="689" t="s">
        <v>443</v>
      </c>
      <c r="D250" s="692" t="s">
        <v>444</v>
      </c>
      <c r="E250" s="579" t="s">
        <v>445</v>
      </c>
      <c r="F250" s="579">
        <v>275.0</v>
      </c>
      <c r="G250" s="657"/>
      <c r="H250" s="640"/>
      <c r="I250" s="411"/>
    </row>
    <row r="251">
      <c r="A251" s="680">
        <v>0.5833333333333334</v>
      </c>
      <c r="B251" s="681"/>
      <c r="C251" s="688"/>
      <c r="D251" s="693"/>
      <c r="E251" s="579" t="s">
        <v>446</v>
      </c>
      <c r="F251" s="579">
        <v>180.0</v>
      </c>
      <c r="G251" s="657"/>
      <c r="H251" s="640"/>
      <c r="I251" s="411"/>
    </row>
    <row r="252">
      <c r="A252" s="680">
        <v>0.625</v>
      </c>
      <c r="B252" s="681"/>
      <c r="C252" s="688"/>
      <c r="D252" s="693"/>
      <c r="E252" s="579" t="s">
        <v>447</v>
      </c>
      <c r="F252" s="579">
        <v>120.0</v>
      </c>
      <c r="G252" s="657"/>
      <c r="H252" s="640"/>
      <c r="I252" s="411"/>
    </row>
    <row r="253">
      <c r="A253" s="680">
        <v>0.6666666666666666</v>
      </c>
      <c r="B253" s="681"/>
      <c r="C253" s="689" t="s">
        <v>448</v>
      </c>
      <c r="D253" s="693"/>
      <c r="E253" s="579" t="s">
        <v>449</v>
      </c>
      <c r="F253" s="579">
        <v>1550.0</v>
      </c>
      <c r="G253" s="635"/>
      <c r="H253" s="618"/>
      <c r="I253" s="411"/>
    </row>
    <row r="254">
      <c r="A254" s="680">
        <v>0.7083333333333334</v>
      </c>
      <c r="B254" s="681"/>
      <c r="C254" s="694" t="s">
        <v>450</v>
      </c>
      <c r="D254" s="693"/>
      <c r="E254" s="579" t="s">
        <v>451</v>
      </c>
      <c r="F254" s="579">
        <v>2500.0</v>
      </c>
      <c r="G254" s="657"/>
      <c r="H254" s="640"/>
      <c r="I254" s="411"/>
    </row>
    <row r="255">
      <c r="A255" s="680">
        <v>0.75</v>
      </c>
      <c r="B255" s="695" t="s">
        <v>452</v>
      </c>
      <c r="C255" s="682"/>
      <c r="D255" s="693"/>
      <c r="E255" s="579" t="s">
        <v>453</v>
      </c>
      <c r="F255" s="579">
        <v>222.0</v>
      </c>
      <c r="G255" s="657"/>
      <c r="H255" s="640"/>
      <c r="I255" s="411"/>
    </row>
    <row r="256">
      <c r="A256" s="680">
        <v>0.7916666666666666</v>
      </c>
      <c r="B256" s="696"/>
      <c r="C256" s="691" t="s">
        <v>290</v>
      </c>
      <c r="D256" s="691" t="s">
        <v>290</v>
      </c>
      <c r="E256" s="579" t="s">
        <v>454</v>
      </c>
      <c r="F256" s="579">
        <v>80.0</v>
      </c>
      <c r="G256" s="635"/>
      <c r="H256" s="640"/>
      <c r="I256" s="411"/>
    </row>
    <row r="257">
      <c r="A257" s="680">
        <v>0.8333333333333334</v>
      </c>
      <c r="B257" s="697" t="s">
        <v>290</v>
      </c>
      <c r="C257" s="694" t="s">
        <v>455</v>
      </c>
      <c r="D257" s="693"/>
      <c r="E257" s="579" t="s">
        <v>456</v>
      </c>
      <c r="F257" s="579">
        <v>185.0</v>
      </c>
      <c r="G257" s="635"/>
      <c r="H257" s="640"/>
      <c r="I257" s="411"/>
    </row>
    <row r="258">
      <c r="A258" s="680">
        <v>0.875</v>
      </c>
      <c r="B258" s="696"/>
      <c r="C258" s="682"/>
      <c r="D258" s="693"/>
      <c r="E258" s="579" t="s">
        <v>457</v>
      </c>
      <c r="F258" s="579">
        <v>3100.0</v>
      </c>
      <c r="G258" s="635"/>
      <c r="H258" s="640"/>
      <c r="I258" s="411"/>
    </row>
    <row r="259">
      <c r="A259" s="680">
        <v>0.9166666666666666</v>
      </c>
      <c r="B259" s="698" t="s">
        <v>458</v>
      </c>
      <c r="C259" s="682"/>
      <c r="D259" s="693"/>
      <c r="E259" s="579" t="s">
        <v>459</v>
      </c>
      <c r="F259" s="579">
        <v>350.0</v>
      </c>
      <c r="G259" s="635"/>
      <c r="H259" s="640"/>
      <c r="I259" s="411"/>
    </row>
    <row r="260">
      <c r="A260" s="680">
        <v>0.9583333333333334</v>
      </c>
      <c r="B260" s="699"/>
      <c r="C260" s="682"/>
      <c r="D260" s="693"/>
      <c r="E260" s="579"/>
      <c r="F260" s="411"/>
      <c r="G260" s="629"/>
      <c r="H260" s="640"/>
      <c r="I260" s="411"/>
    </row>
    <row r="261">
      <c r="A261" s="680">
        <v>1.0</v>
      </c>
      <c r="B261" s="700"/>
      <c r="C261" s="682"/>
      <c r="D261" s="693"/>
      <c r="E261" s="579"/>
      <c r="F261" s="579"/>
      <c r="G261" s="635"/>
      <c r="H261" s="640"/>
      <c r="I261" s="411"/>
    </row>
    <row r="262">
      <c r="A262" s="578"/>
      <c r="B262" s="701"/>
      <c r="C262" s="702"/>
      <c r="D262" s="702"/>
      <c r="F262" s="579"/>
      <c r="G262" s="635"/>
      <c r="H262" s="640"/>
      <c r="I262" s="411"/>
    </row>
    <row r="263">
      <c r="A263" s="578" t="s">
        <v>416</v>
      </c>
      <c r="B263" s="701"/>
      <c r="C263" s="702"/>
      <c r="D263" s="702"/>
      <c r="E263" s="452"/>
      <c r="F263" s="579"/>
      <c r="G263" s="657"/>
      <c r="H263" s="640"/>
      <c r="I263" s="411"/>
    </row>
    <row r="264">
      <c r="A264" s="578"/>
      <c r="B264" s="700" t="s">
        <v>418</v>
      </c>
      <c r="C264" s="691" t="s">
        <v>419</v>
      </c>
      <c r="D264" s="703" t="s">
        <v>460</v>
      </c>
      <c r="E264" s="635" t="s">
        <v>461</v>
      </c>
      <c r="F264" s="704">
        <f>SUM(F236:F263)</f>
        <v>19382</v>
      </c>
      <c r="G264" s="657"/>
      <c r="H264" s="24"/>
      <c r="I264" s="411"/>
    </row>
    <row r="265">
      <c r="A265" s="578"/>
      <c r="B265" s="696" t="s">
        <v>421</v>
      </c>
      <c r="C265" s="705" t="s">
        <v>298</v>
      </c>
      <c r="D265" s="702"/>
      <c r="E265" s="452"/>
      <c r="G265" s="657"/>
      <c r="H265" s="640"/>
      <c r="I265" s="411"/>
    </row>
    <row r="266">
      <c r="A266" s="550"/>
      <c r="B266" s="63"/>
      <c r="C266" s="579"/>
      <c r="D266" s="579"/>
      <c r="E266" s="452"/>
      <c r="F266" s="635"/>
      <c r="G266" s="635" t="s">
        <v>462</v>
      </c>
      <c r="H266" s="706">
        <f>222+80+185+3100+350</f>
        <v>3937</v>
      </c>
      <c r="I266" s="411"/>
    </row>
    <row r="267">
      <c r="A267" s="550"/>
      <c r="B267" s="63"/>
      <c r="C267" s="579"/>
      <c r="D267" s="579"/>
      <c r="E267" s="452"/>
      <c r="F267" s="635" t="s">
        <v>463</v>
      </c>
      <c r="G267" s="657"/>
      <c r="H267" s="640"/>
      <c r="I267" s="411"/>
    </row>
    <row r="268">
      <c r="A268" s="550"/>
      <c r="B268" s="63"/>
      <c r="C268" s="579"/>
      <c r="D268" s="579"/>
      <c r="E268" s="452"/>
      <c r="F268" s="657">
        <f>F264*0.4</f>
        <v>7752.8</v>
      </c>
      <c r="G268" s="617" t="s">
        <v>464</v>
      </c>
      <c r="H268" s="640"/>
      <c r="I268" s="411"/>
    </row>
    <row r="269">
      <c r="A269" s="550"/>
      <c r="B269" s="63"/>
      <c r="C269" s="579"/>
      <c r="D269" s="579"/>
      <c r="E269" s="452"/>
      <c r="F269" s="657">
        <f>F264-F268</f>
        <v>11629.2</v>
      </c>
      <c r="G269" s="707">
        <f>F268-H266</f>
        <v>3815.8</v>
      </c>
      <c r="H269" s="640"/>
      <c r="I269" s="411"/>
    </row>
    <row r="270">
      <c r="A270" s="550"/>
      <c r="B270" s="63"/>
      <c r="C270" s="579"/>
      <c r="D270" s="579"/>
      <c r="E270" s="452"/>
      <c r="F270" s="635" t="s">
        <v>465</v>
      </c>
      <c r="G270" s="657"/>
      <c r="H270" s="640"/>
      <c r="I270" s="411"/>
    </row>
    <row r="271">
      <c r="A271" s="550"/>
      <c r="B271" s="63"/>
      <c r="C271" s="579"/>
      <c r="D271" s="579"/>
      <c r="E271" s="452"/>
      <c r="F271" s="452"/>
      <c r="G271" s="657"/>
      <c r="H271" s="640"/>
      <c r="I271" s="411"/>
    </row>
    <row r="272">
      <c r="A272" s="550"/>
      <c r="B272" s="63"/>
      <c r="C272" s="579"/>
      <c r="D272" s="579"/>
      <c r="E272" s="452"/>
      <c r="G272" s="657"/>
      <c r="H272" s="640"/>
      <c r="I272" s="411"/>
    </row>
    <row r="273">
      <c r="A273" s="550"/>
      <c r="B273" s="708" t="s">
        <v>466</v>
      </c>
      <c r="C273" s="709" t="s">
        <v>300</v>
      </c>
      <c r="D273" s="579"/>
      <c r="E273" s="452"/>
      <c r="G273" s="657"/>
      <c r="H273" s="640"/>
      <c r="I273" s="411"/>
    </row>
    <row r="274">
      <c r="A274" s="19">
        <v>1.0</v>
      </c>
      <c r="B274" s="710" t="s">
        <v>467</v>
      </c>
      <c r="C274" s="709" t="s">
        <v>468</v>
      </c>
      <c r="D274" s="579">
        <v>214.0</v>
      </c>
      <c r="E274" s="452"/>
      <c r="G274" s="657"/>
      <c r="H274" s="640"/>
      <c r="I274" s="411"/>
    </row>
    <row r="275">
      <c r="A275" s="19">
        <v>2.0</v>
      </c>
      <c r="B275" s="710" t="s">
        <v>469</v>
      </c>
      <c r="C275" s="709" t="s">
        <v>470</v>
      </c>
      <c r="D275" s="579">
        <v>77.0</v>
      </c>
      <c r="E275" s="452"/>
      <c r="G275" s="657"/>
      <c r="H275" s="640"/>
      <c r="I275" s="411"/>
    </row>
    <row r="276">
      <c r="A276" s="19">
        <v>3.0</v>
      </c>
      <c r="B276" s="708" t="s">
        <v>471</v>
      </c>
      <c r="C276" s="709" t="s">
        <v>472</v>
      </c>
      <c r="D276" s="579">
        <v>194.0</v>
      </c>
      <c r="E276" s="452"/>
      <c r="G276" s="657"/>
      <c r="H276" s="640"/>
      <c r="I276" s="411"/>
    </row>
    <row r="277">
      <c r="A277" s="19">
        <v>4.0</v>
      </c>
      <c r="B277" s="710" t="s">
        <v>473</v>
      </c>
      <c r="C277" s="709" t="s">
        <v>468</v>
      </c>
      <c r="D277" s="579">
        <v>214.0</v>
      </c>
      <c r="E277" s="452"/>
      <c r="G277" s="657"/>
      <c r="H277" s="640"/>
      <c r="I277" s="411"/>
    </row>
    <row r="278">
      <c r="A278" s="19">
        <v>5.0</v>
      </c>
      <c r="B278" s="710" t="s">
        <v>474</v>
      </c>
      <c r="C278" s="709" t="s">
        <v>470</v>
      </c>
      <c r="D278" s="579">
        <v>214.0</v>
      </c>
      <c r="E278" s="452"/>
      <c r="G278" s="657"/>
      <c r="H278" s="640"/>
      <c r="I278" s="411"/>
    </row>
    <row r="279">
      <c r="A279" s="19">
        <v>6.0</v>
      </c>
      <c r="B279" s="710" t="s">
        <v>475</v>
      </c>
      <c r="C279" s="709" t="s">
        <v>476</v>
      </c>
      <c r="D279" s="579">
        <v>133.0</v>
      </c>
      <c r="E279" s="452"/>
      <c r="G279" s="657"/>
      <c r="H279" s="640"/>
      <c r="I279" s="411"/>
    </row>
    <row r="280">
      <c r="A280" s="19">
        <v>7.0</v>
      </c>
      <c r="B280" s="708" t="s">
        <v>477</v>
      </c>
      <c r="C280" s="709" t="s">
        <v>470</v>
      </c>
      <c r="D280" s="579">
        <v>77.0</v>
      </c>
      <c r="E280" s="452"/>
      <c r="G280" s="657"/>
      <c r="H280" s="640"/>
      <c r="I280" s="411"/>
    </row>
    <row r="281">
      <c r="A281" s="19">
        <v>8.0</v>
      </c>
      <c r="B281" s="710" t="s">
        <v>478</v>
      </c>
      <c r="C281" s="709" t="s">
        <v>476</v>
      </c>
      <c r="D281" s="579">
        <v>133.0</v>
      </c>
      <c r="E281" s="452"/>
      <c r="G281" s="657"/>
      <c r="H281" s="640"/>
      <c r="I281" s="411"/>
    </row>
    <row r="282">
      <c r="A282" s="19">
        <v>9.0</v>
      </c>
      <c r="B282" s="710" t="s">
        <v>479</v>
      </c>
      <c r="C282" s="709" t="s">
        <v>476</v>
      </c>
      <c r="D282" s="579">
        <v>133.0</v>
      </c>
      <c r="E282" s="452"/>
      <c r="G282" s="657"/>
      <c r="H282" s="640"/>
      <c r="I282" s="411"/>
    </row>
    <row r="283">
      <c r="A283" s="19">
        <v>10.0</v>
      </c>
      <c r="B283" s="708" t="s">
        <v>480</v>
      </c>
      <c r="C283" s="709" t="s">
        <v>476</v>
      </c>
      <c r="D283" s="579">
        <v>133.0</v>
      </c>
      <c r="E283" s="452"/>
      <c r="G283" s="657"/>
      <c r="H283" s="640"/>
      <c r="I283" s="411"/>
    </row>
    <row r="284">
      <c r="A284" s="19">
        <v>11.0</v>
      </c>
      <c r="B284" s="708" t="s">
        <v>481</v>
      </c>
      <c r="C284" s="709" t="s">
        <v>476</v>
      </c>
      <c r="D284" s="579">
        <v>133.0</v>
      </c>
      <c r="E284" s="452"/>
      <c r="G284" s="657"/>
      <c r="H284" s="640"/>
      <c r="I284" s="411"/>
    </row>
    <row r="285">
      <c r="A285" s="19">
        <v>12.0</v>
      </c>
      <c r="B285" s="710" t="s">
        <v>482</v>
      </c>
      <c r="C285" s="709" t="s">
        <v>476</v>
      </c>
      <c r="D285" s="579">
        <v>133.0</v>
      </c>
      <c r="E285" s="452"/>
      <c r="G285" s="657"/>
      <c r="H285" s="640"/>
      <c r="I285" s="411"/>
    </row>
    <row r="286">
      <c r="A286" s="19">
        <v>13.0</v>
      </c>
      <c r="B286" s="708" t="s">
        <v>483</v>
      </c>
      <c r="C286" s="709" t="s">
        <v>472</v>
      </c>
      <c r="D286" s="579">
        <v>214.0</v>
      </c>
      <c r="E286" s="452"/>
      <c r="G286" s="657"/>
      <c r="H286" s="640"/>
      <c r="I286" s="411"/>
    </row>
    <row r="287">
      <c r="A287" s="19">
        <v>14.0</v>
      </c>
      <c r="B287" s="710" t="s">
        <v>484</v>
      </c>
      <c r="C287" s="709" t="s">
        <v>476</v>
      </c>
      <c r="D287" s="579">
        <v>133.0</v>
      </c>
      <c r="E287" s="452"/>
      <c r="G287" s="657"/>
      <c r="H287" s="640"/>
      <c r="I287" s="411"/>
    </row>
    <row r="288">
      <c r="A288" s="19">
        <v>15.0</v>
      </c>
      <c r="B288" s="710" t="s">
        <v>485</v>
      </c>
      <c r="C288" s="709" t="s">
        <v>486</v>
      </c>
      <c r="D288" s="579"/>
      <c r="E288" s="452"/>
      <c r="G288" s="657"/>
      <c r="H288" s="640"/>
      <c r="I288" s="411"/>
    </row>
    <row r="289">
      <c r="A289" s="19">
        <v>16.0</v>
      </c>
      <c r="B289" s="708" t="s">
        <v>487</v>
      </c>
      <c r="C289" s="709" t="s">
        <v>476</v>
      </c>
      <c r="D289" s="579">
        <v>133.0</v>
      </c>
      <c r="E289" s="452"/>
      <c r="G289" s="657"/>
      <c r="H289" s="640"/>
      <c r="I289" s="411"/>
    </row>
    <row r="290">
      <c r="A290" s="19">
        <v>17.0</v>
      </c>
      <c r="B290" s="708" t="s">
        <v>488</v>
      </c>
      <c r="C290" s="709" t="s">
        <v>476</v>
      </c>
      <c r="D290" s="579">
        <v>133.0</v>
      </c>
      <c r="E290" s="452"/>
      <c r="G290" s="657"/>
      <c r="H290" s="640"/>
      <c r="I290" s="411"/>
    </row>
    <row r="291">
      <c r="A291" s="19">
        <v>18.0</v>
      </c>
      <c r="B291" s="708" t="s">
        <v>489</v>
      </c>
      <c r="C291" s="709" t="s">
        <v>476</v>
      </c>
      <c r="D291" s="579">
        <v>133.0</v>
      </c>
      <c r="E291" s="452"/>
      <c r="G291" s="657"/>
      <c r="H291" s="640"/>
      <c r="I291" s="411"/>
    </row>
    <row r="292">
      <c r="A292" s="19">
        <v>19.0</v>
      </c>
      <c r="B292" s="710" t="s">
        <v>490</v>
      </c>
      <c r="C292" s="709" t="s">
        <v>476</v>
      </c>
      <c r="D292" s="579">
        <v>133.0</v>
      </c>
      <c r="E292" s="452"/>
      <c r="G292" s="657"/>
      <c r="H292" s="640"/>
      <c r="I292" s="411"/>
    </row>
    <row r="293">
      <c r="A293" s="19">
        <v>20.0</v>
      </c>
      <c r="B293" s="710" t="s">
        <v>491</v>
      </c>
      <c r="C293" s="709" t="s">
        <v>476</v>
      </c>
      <c r="D293" s="579">
        <v>133.0</v>
      </c>
      <c r="E293" s="452"/>
      <c r="G293" s="657"/>
      <c r="H293" s="640"/>
      <c r="I293" s="411"/>
    </row>
    <row r="294">
      <c r="A294" s="19">
        <v>21.0</v>
      </c>
      <c r="B294" s="710" t="s">
        <v>492</v>
      </c>
      <c r="C294" s="709" t="s">
        <v>476</v>
      </c>
      <c r="D294" s="579">
        <v>133.0</v>
      </c>
      <c r="E294" s="452"/>
      <c r="G294" s="657"/>
      <c r="H294" s="640"/>
      <c r="I294" s="411"/>
    </row>
    <row r="295">
      <c r="A295" s="19">
        <v>22.0</v>
      </c>
      <c r="B295" s="708" t="s">
        <v>493</v>
      </c>
      <c r="C295" s="709" t="s">
        <v>476</v>
      </c>
      <c r="D295" s="579">
        <v>133.0</v>
      </c>
      <c r="E295" s="452"/>
      <c r="G295" s="657"/>
      <c r="H295" s="640"/>
      <c r="I295" s="411"/>
    </row>
    <row r="296">
      <c r="A296" s="19">
        <v>23.0</v>
      </c>
      <c r="B296" s="708" t="s">
        <v>494</v>
      </c>
      <c r="C296" s="709" t="s">
        <v>495</v>
      </c>
      <c r="D296" s="579">
        <v>77.0</v>
      </c>
      <c r="E296" s="452"/>
      <c r="G296" s="657"/>
      <c r="H296" s="640"/>
      <c r="I296" s="411"/>
    </row>
    <row r="297">
      <c r="A297" s="19"/>
      <c r="B297" s="63"/>
      <c r="C297" s="579"/>
      <c r="D297" s="579">
        <f>SUM(D274:D296)</f>
        <v>3143</v>
      </c>
      <c r="E297" s="452"/>
      <c r="G297" s="657"/>
      <c r="H297" s="640"/>
      <c r="I297" s="411"/>
    </row>
    <row r="298">
      <c r="A298" s="19"/>
      <c r="B298" s="63"/>
      <c r="C298" s="579"/>
      <c r="D298" s="579"/>
      <c r="E298" s="452"/>
      <c r="G298" s="657"/>
      <c r="H298" s="640"/>
      <c r="I298" s="41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38"/>
    <col customWidth="1" min="3" max="3" width="4.25"/>
    <col customWidth="1" min="4" max="4" width="15.38"/>
    <col customWidth="1" min="5" max="5" width="13.88"/>
    <col customWidth="1" min="9" max="9" width="4.63"/>
    <col customWidth="1" min="10" max="10" width="29.13"/>
    <col customWidth="1" min="12" max="12" width="4.25"/>
    <col customWidth="1" min="13" max="13" width="22.25"/>
  </cols>
  <sheetData>
    <row r="1">
      <c r="A1" s="711" t="s">
        <v>496</v>
      </c>
      <c r="B1" s="712">
        <f>E15+H61+K38+B20+B21+B16+B40+B37+B48+K69+R52+N51+O28</f>
        <v>780675</v>
      </c>
      <c r="C1" s="19"/>
      <c r="D1" s="713" t="s">
        <v>497</v>
      </c>
      <c r="E1" s="714"/>
      <c r="F1" s="715"/>
      <c r="H1" s="75">
        <f>B16+E15+B20+B21+B37+B42+B46+H61+K67+O1+N51+R52</f>
        <v>490431</v>
      </c>
      <c r="J1" s="716" t="s">
        <v>498</v>
      </c>
      <c r="K1" s="717">
        <v>28000.0</v>
      </c>
      <c r="M1" s="718" t="s">
        <v>499</v>
      </c>
      <c r="N1" s="719"/>
      <c r="O1" s="720">
        <v>129000.0</v>
      </c>
      <c r="P1" s="721"/>
      <c r="Q1" s="722" t="s">
        <v>500</v>
      </c>
      <c r="T1" s="723" t="s">
        <v>501</v>
      </c>
      <c r="U1" s="724" t="s">
        <v>502</v>
      </c>
      <c r="V1" s="725" t="s">
        <v>46</v>
      </c>
    </row>
    <row r="2">
      <c r="D2" s="726"/>
      <c r="E2" s="19" t="s">
        <v>503</v>
      </c>
      <c r="F2" s="727" t="s">
        <v>504</v>
      </c>
      <c r="G2" s="402"/>
      <c r="H2" s="402"/>
      <c r="J2" s="728" t="s">
        <v>505</v>
      </c>
      <c r="K2" s="729">
        <v>30000.0</v>
      </c>
      <c r="M2" s="726"/>
      <c r="O2" s="19"/>
      <c r="P2" s="730"/>
      <c r="Q2" s="731" t="s">
        <v>506</v>
      </c>
      <c r="R2" s="732">
        <v>9875.2</v>
      </c>
      <c r="T2" s="733" t="s">
        <v>467</v>
      </c>
      <c r="U2" s="56" t="s">
        <v>507</v>
      </c>
      <c r="V2" s="734">
        <v>9749.76</v>
      </c>
    </row>
    <row r="3">
      <c r="A3" s="19"/>
      <c r="B3" s="19"/>
      <c r="C3" s="19"/>
      <c r="D3" s="735" t="s">
        <v>508</v>
      </c>
      <c r="E3" s="736">
        <v>5500.0</v>
      </c>
      <c r="F3" s="737">
        <v>2565.0</v>
      </c>
      <c r="G3" s="402"/>
      <c r="J3" s="728" t="s">
        <v>509</v>
      </c>
      <c r="K3" s="729">
        <v>15000.0</v>
      </c>
      <c r="M3" s="735" t="s">
        <v>510</v>
      </c>
      <c r="N3" s="19" t="s">
        <v>45</v>
      </c>
      <c r="O3" s="19"/>
      <c r="P3" s="730"/>
      <c r="Q3" s="731" t="s">
        <v>511</v>
      </c>
      <c r="R3" s="732">
        <v>3.82004033119E11</v>
      </c>
      <c r="T3" s="733" t="s">
        <v>469</v>
      </c>
      <c r="U3" s="56" t="s">
        <v>512</v>
      </c>
      <c r="V3" s="734">
        <v>9907.96</v>
      </c>
    </row>
    <row r="4">
      <c r="A4" s="19"/>
      <c r="B4" s="19"/>
      <c r="C4" s="19"/>
      <c r="D4" s="735" t="s">
        <v>513</v>
      </c>
      <c r="E4" s="738">
        <v>2000.0</v>
      </c>
      <c r="F4" s="737">
        <v>1000.0</v>
      </c>
      <c r="G4" s="402"/>
      <c r="J4" s="728" t="s">
        <v>514</v>
      </c>
      <c r="K4" s="729">
        <v>26876.0</v>
      </c>
      <c r="M4" s="739" t="s">
        <v>515</v>
      </c>
      <c r="N4" s="740">
        <v>44238.0</v>
      </c>
      <c r="O4" s="741">
        <v>7000.0</v>
      </c>
      <c r="P4" s="742" t="s">
        <v>516</v>
      </c>
      <c r="R4" s="411"/>
      <c r="S4" s="411"/>
      <c r="T4" s="490"/>
      <c r="U4" s="411"/>
      <c r="V4" s="743"/>
      <c r="X4" s="744"/>
    </row>
    <row r="5">
      <c r="A5" s="19"/>
      <c r="B5" s="19"/>
      <c r="C5" s="19"/>
      <c r="D5" s="735" t="s">
        <v>517</v>
      </c>
      <c r="E5" s="738">
        <v>2000.0</v>
      </c>
      <c r="F5" s="737">
        <v>3000.0</v>
      </c>
      <c r="G5" s="402"/>
      <c r="J5" s="728" t="s">
        <v>518</v>
      </c>
      <c r="K5" s="745">
        <v>13000.0</v>
      </c>
      <c r="M5" s="739" t="s">
        <v>519</v>
      </c>
      <c r="N5" s="740">
        <v>44238.0</v>
      </c>
      <c r="O5" s="741">
        <v>3000.0</v>
      </c>
      <c r="P5" s="730"/>
      <c r="Q5" s="16" t="s">
        <v>520</v>
      </c>
      <c r="S5" s="411"/>
    </row>
    <row r="6">
      <c r="A6" s="713" t="s">
        <v>521</v>
      </c>
      <c r="B6" s="746"/>
      <c r="C6" s="19"/>
      <c r="D6" s="735" t="s">
        <v>522</v>
      </c>
      <c r="E6" s="738">
        <v>400.0</v>
      </c>
      <c r="F6" s="737">
        <v>400.0</v>
      </c>
      <c r="G6" s="402"/>
      <c r="J6" s="728" t="s">
        <v>523</v>
      </c>
      <c r="K6" s="745">
        <v>10000.0</v>
      </c>
      <c r="M6" s="739" t="s">
        <v>524</v>
      </c>
      <c r="N6" s="747">
        <v>44242.0</v>
      </c>
      <c r="O6" s="748">
        <v>300.0</v>
      </c>
      <c r="P6" s="730"/>
      <c r="Q6" s="16" t="s">
        <v>525</v>
      </c>
      <c r="R6" s="734"/>
      <c r="S6" s="411"/>
    </row>
    <row r="7">
      <c r="A7" s="735" t="s">
        <v>526</v>
      </c>
      <c r="B7" s="749">
        <v>20000.0</v>
      </c>
      <c r="C7" s="19"/>
      <c r="D7" s="735" t="s">
        <v>527</v>
      </c>
      <c r="E7" s="738">
        <v>2600.0</v>
      </c>
      <c r="F7" s="737">
        <v>4000.0</v>
      </c>
      <c r="G7" s="402" t="s">
        <v>528</v>
      </c>
      <c r="J7" s="728" t="s">
        <v>529</v>
      </c>
      <c r="K7" s="737">
        <v>1850.0</v>
      </c>
      <c r="M7" s="739" t="s">
        <v>530</v>
      </c>
      <c r="N7" s="747">
        <v>44244.0</v>
      </c>
      <c r="O7" s="741">
        <v>2000.0</v>
      </c>
      <c r="P7" s="730"/>
      <c r="Q7" s="34" t="s">
        <v>531</v>
      </c>
      <c r="R7" s="411"/>
      <c r="S7" s="411"/>
    </row>
    <row r="8">
      <c r="A8" s="726"/>
      <c r="B8" s="730"/>
      <c r="C8" s="19"/>
      <c r="D8" s="735" t="s">
        <v>532</v>
      </c>
      <c r="E8" s="738">
        <v>2500.0</v>
      </c>
      <c r="F8" s="750">
        <v>6000.0</v>
      </c>
      <c r="J8" s="728" t="s">
        <v>533</v>
      </c>
      <c r="K8" s="737">
        <v>10000.0</v>
      </c>
      <c r="M8" s="739" t="s">
        <v>534</v>
      </c>
      <c r="N8" s="747">
        <v>44244.0</v>
      </c>
      <c r="O8" s="741">
        <v>550.0</v>
      </c>
      <c r="P8" s="730"/>
      <c r="Q8" s="19" t="s">
        <v>535</v>
      </c>
      <c r="R8" s="34"/>
      <c r="S8" s="411"/>
    </row>
    <row r="9">
      <c r="A9" s="735" t="s">
        <v>536</v>
      </c>
      <c r="B9" s="730"/>
      <c r="C9" s="19"/>
      <c r="D9" s="735" t="s">
        <v>537</v>
      </c>
      <c r="E9" s="738">
        <v>2000.0</v>
      </c>
      <c r="F9" s="750">
        <v>1500.0</v>
      </c>
      <c r="J9" s="728" t="s">
        <v>538</v>
      </c>
      <c r="K9" s="737">
        <v>2000.0</v>
      </c>
      <c r="M9" s="739" t="s">
        <v>539</v>
      </c>
      <c r="N9" s="751">
        <v>44246.0</v>
      </c>
      <c r="O9" s="741">
        <v>3000.0</v>
      </c>
      <c r="P9" s="730"/>
      <c r="Q9" s="19" t="s">
        <v>540</v>
      </c>
      <c r="R9" s="32"/>
      <c r="S9" s="411"/>
    </row>
    <row r="10">
      <c r="A10" s="735" t="s">
        <v>503</v>
      </c>
      <c r="B10" s="742">
        <v>1000.0</v>
      </c>
      <c r="C10" s="19"/>
      <c r="D10" s="735" t="s">
        <v>541</v>
      </c>
      <c r="E10" s="19">
        <v>2500.0</v>
      </c>
      <c r="F10" s="750">
        <v>1000.0</v>
      </c>
      <c r="J10" s="728" t="s">
        <v>542</v>
      </c>
      <c r="K10" s="737">
        <v>10000.0</v>
      </c>
      <c r="M10" s="739" t="s">
        <v>543</v>
      </c>
      <c r="N10" s="751">
        <v>44284.0</v>
      </c>
      <c r="O10" s="741">
        <v>10000.0</v>
      </c>
      <c r="P10" s="730"/>
      <c r="Q10" s="34" t="s">
        <v>544</v>
      </c>
      <c r="R10" s="752">
        <v>36700.0</v>
      </c>
      <c r="S10" s="411"/>
    </row>
    <row r="11">
      <c r="A11" s="735" t="s">
        <v>504</v>
      </c>
      <c r="B11" s="742">
        <v>1720.0</v>
      </c>
      <c r="D11" s="726"/>
      <c r="F11" s="730"/>
      <c r="J11" s="753" t="s">
        <v>545</v>
      </c>
      <c r="K11" s="745">
        <v>2300.0</v>
      </c>
      <c r="M11" s="739" t="s">
        <v>539</v>
      </c>
      <c r="N11" s="751">
        <v>44251.0</v>
      </c>
      <c r="O11" s="741">
        <v>2000.0</v>
      </c>
      <c r="P11" s="730"/>
    </row>
    <row r="12">
      <c r="A12" s="735" t="s">
        <v>546</v>
      </c>
      <c r="B12" s="754">
        <v>2314.0</v>
      </c>
      <c r="D12" s="726"/>
      <c r="F12" s="730"/>
      <c r="J12" s="728" t="s">
        <v>547</v>
      </c>
      <c r="K12" s="745">
        <v>2500.0</v>
      </c>
      <c r="M12" s="739" t="s">
        <v>548</v>
      </c>
      <c r="N12" s="751">
        <v>44263.0</v>
      </c>
      <c r="O12" s="741">
        <v>500.0</v>
      </c>
      <c r="P12" s="730"/>
    </row>
    <row r="13">
      <c r="A13" s="735" t="s">
        <v>549</v>
      </c>
      <c r="B13" s="742">
        <v>1500.0</v>
      </c>
      <c r="C13" s="19"/>
      <c r="D13" s="735" t="s">
        <v>550</v>
      </c>
      <c r="E13" s="755">
        <f>SUM(E3:E12)</f>
        <v>19500</v>
      </c>
      <c r="F13" s="730"/>
      <c r="J13" s="728" t="s">
        <v>551</v>
      </c>
      <c r="K13" s="745">
        <v>4200.0</v>
      </c>
      <c r="M13" s="739" t="s">
        <v>510</v>
      </c>
      <c r="N13" s="751">
        <v>44274.0</v>
      </c>
      <c r="O13" s="741">
        <v>3000.0</v>
      </c>
      <c r="P13" s="730"/>
    </row>
    <row r="14">
      <c r="A14" s="735" t="s">
        <v>552</v>
      </c>
      <c r="B14" s="742">
        <v>300.0</v>
      </c>
      <c r="C14" s="19"/>
      <c r="D14" s="735" t="s">
        <v>553</v>
      </c>
      <c r="F14" s="756">
        <f>SUM(F3:F13)</f>
        <v>19465</v>
      </c>
      <c r="J14" s="728" t="s">
        <v>554</v>
      </c>
      <c r="K14" s="745">
        <v>2700.0</v>
      </c>
      <c r="M14" s="739" t="s">
        <v>555</v>
      </c>
      <c r="N14" s="751">
        <v>44280.0</v>
      </c>
      <c r="O14" s="741">
        <v>1500.0</v>
      </c>
      <c r="P14" s="730"/>
    </row>
    <row r="15">
      <c r="A15" s="735" t="s">
        <v>556</v>
      </c>
      <c r="B15" s="742">
        <v>10000.0</v>
      </c>
      <c r="C15" s="19"/>
      <c r="D15" s="757" t="s">
        <v>557</v>
      </c>
      <c r="E15" s="758">
        <f>E13+F14</f>
        <v>38965</v>
      </c>
      <c r="F15" s="759"/>
      <c r="J15" s="728" t="s">
        <v>558</v>
      </c>
      <c r="K15" s="737">
        <v>1800.0</v>
      </c>
      <c r="M15" s="739" t="s">
        <v>559</v>
      </c>
      <c r="N15" s="751">
        <v>44295.0</v>
      </c>
      <c r="O15" s="741">
        <v>500.0</v>
      </c>
      <c r="P15" s="730"/>
    </row>
    <row r="16">
      <c r="A16" s="760"/>
      <c r="B16" s="761">
        <f>SUM(B10:B15)</f>
        <v>16834</v>
      </c>
      <c r="J16" s="762" t="s">
        <v>560</v>
      </c>
      <c r="K16" s="737">
        <v>13000.0</v>
      </c>
      <c r="M16" s="739" t="s">
        <v>561</v>
      </c>
      <c r="N16" s="751">
        <v>44299.0</v>
      </c>
      <c r="O16" s="741">
        <v>4095.0</v>
      </c>
      <c r="P16" s="730"/>
    </row>
    <row r="17">
      <c r="J17" s="762" t="s">
        <v>562</v>
      </c>
      <c r="K17" s="737">
        <v>17000.0</v>
      </c>
      <c r="M17" s="739" t="s">
        <v>563</v>
      </c>
      <c r="N17" s="751">
        <v>44306.0</v>
      </c>
      <c r="O17" s="741">
        <v>1000.0</v>
      </c>
      <c r="P17" s="730"/>
    </row>
    <row r="18">
      <c r="D18" s="713" t="s">
        <v>564</v>
      </c>
      <c r="E18" s="714"/>
      <c r="F18" s="714"/>
      <c r="G18" s="763"/>
      <c r="H18" s="764"/>
      <c r="J18" s="762" t="s">
        <v>565</v>
      </c>
      <c r="K18" s="737">
        <v>4000.0</v>
      </c>
      <c r="M18" s="739" t="s">
        <v>566</v>
      </c>
      <c r="N18" s="751">
        <v>44316.0</v>
      </c>
      <c r="O18" s="741">
        <v>1000.0</v>
      </c>
      <c r="P18" s="730"/>
    </row>
    <row r="19">
      <c r="A19" s="56"/>
      <c r="B19" s="56"/>
      <c r="C19" s="56"/>
      <c r="D19" s="765" t="s">
        <v>567</v>
      </c>
      <c r="E19" s="56" t="s">
        <v>568</v>
      </c>
      <c r="F19" s="56" t="s">
        <v>569</v>
      </c>
      <c r="G19" s="56" t="s">
        <v>568</v>
      </c>
      <c r="H19" s="766"/>
      <c r="J19" s="762" t="s">
        <v>570</v>
      </c>
      <c r="K19" s="737">
        <v>13000.0</v>
      </c>
      <c r="M19" s="739" t="s">
        <v>571</v>
      </c>
      <c r="N19" s="751">
        <v>44328.0</v>
      </c>
      <c r="O19" s="741">
        <v>3700.0</v>
      </c>
      <c r="P19" s="730"/>
    </row>
    <row r="20">
      <c r="A20" s="713" t="s">
        <v>572</v>
      </c>
      <c r="B20" s="746">
        <v>14000.0</v>
      </c>
      <c r="C20" s="19"/>
      <c r="D20" s="735" t="s">
        <v>573</v>
      </c>
      <c r="E20" s="19" t="s">
        <v>574</v>
      </c>
      <c r="F20" s="19">
        <v>118.0</v>
      </c>
      <c r="G20" s="19">
        <v>14.0</v>
      </c>
      <c r="H20" s="727">
        <f t="shared" ref="H20:H59" si="1">F20*G20</f>
        <v>1652</v>
      </c>
      <c r="J20" s="728" t="s">
        <v>575</v>
      </c>
      <c r="K20" s="767">
        <v>5000.0</v>
      </c>
      <c r="L20" s="402"/>
      <c r="M20" s="768" t="s">
        <v>576</v>
      </c>
      <c r="N20" s="769">
        <v>44335.0</v>
      </c>
      <c r="O20" s="770">
        <v>4500.0</v>
      </c>
      <c r="P20" s="771" t="s">
        <v>577</v>
      </c>
      <c r="R20" s="402"/>
    </row>
    <row r="21">
      <c r="A21" s="772" t="s">
        <v>521</v>
      </c>
      <c r="B21" s="773">
        <v>14000.0</v>
      </c>
      <c r="C21" s="19"/>
      <c r="D21" s="735" t="s">
        <v>578</v>
      </c>
      <c r="E21" s="19" t="s">
        <v>579</v>
      </c>
      <c r="F21" s="19">
        <v>115.0</v>
      </c>
      <c r="G21" s="774">
        <v>16.0</v>
      </c>
      <c r="H21" s="775">
        <f t="shared" si="1"/>
        <v>1840</v>
      </c>
      <c r="J21" s="728" t="s">
        <v>580</v>
      </c>
      <c r="K21" s="776">
        <v>4800.0</v>
      </c>
      <c r="M21" s="768" t="s">
        <v>581</v>
      </c>
      <c r="N21" s="769">
        <v>44343.0</v>
      </c>
      <c r="O21" s="770">
        <v>10650.0</v>
      </c>
      <c r="P21" s="730"/>
      <c r="Q21" s="774"/>
    </row>
    <row r="22">
      <c r="A22" s="19"/>
      <c r="B22" s="19"/>
      <c r="C22" s="19"/>
      <c r="D22" s="735" t="s">
        <v>582</v>
      </c>
      <c r="E22" s="553" t="s">
        <v>583</v>
      </c>
      <c r="F22" s="19">
        <v>115.0</v>
      </c>
      <c r="G22" s="777">
        <v>4.0</v>
      </c>
      <c r="H22" s="775">
        <f t="shared" si="1"/>
        <v>460</v>
      </c>
      <c r="J22" s="728" t="s">
        <v>584</v>
      </c>
      <c r="K22" s="767">
        <v>3500.0</v>
      </c>
      <c r="M22" s="768" t="s">
        <v>585</v>
      </c>
      <c r="N22" s="769">
        <v>44349.0</v>
      </c>
      <c r="O22" s="770">
        <v>5200.0</v>
      </c>
      <c r="P22" s="730"/>
      <c r="Q22" s="777"/>
    </row>
    <row r="23">
      <c r="A23" s="778" t="s">
        <v>586</v>
      </c>
      <c r="B23" s="779">
        <v>44927.0</v>
      </c>
      <c r="C23" s="19"/>
      <c r="D23" s="735" t="s">
        <v>587</v>
      </c>
      <c r="E23" s="19" t="s">
        <v>583</v>
      </c>
      <c r="F23" s="19">
        <v>130.0</v>
      </c>
      <c r="G23" s="774">
        <v>4.0</v>
      </c>
      <c r="H23" s="775">
        <f t="shared" si="1"/>
        <v>520</v>
      </c>
      <c r="J23" s="728" t="s">
        <v>588</v>
      </c>
      <c r="K23" s="729">
        <v>4800.0</v>
      </c>
      <c r="M23" s="768" t="s">
        <v>589</v>
      </c>
      <c r="N23" s="769">
        <v>44353.0</v>
      </c>
      <c r="O23" s="770">
        <v>3000.0</v>
      </c>
      <c r="P23" s="730"/>
      <c r="Q23" s="774"/>
    </row>
    <row r="24">
      <c r="A24" s="735" t="s">
        <v>590</v>
      </c>
      <c r="B24" s="742">
        <v>15700.0</v>
      </c>
      <c r="C24" s="19"/>
      <c r="D24" s="735" t="s">
        <v>591</v>
      </c>
      <c r="E24" s="19" t="s">
        <v>592</v>
      </c>
      <c r="F24" s="19">
        <v>5.0</v>
      </c>
      <c r="G24" s="774">
        <v>35.0</v>
      </c>
      <c r="H24" s="775">
        <f t="shared" si="1"/>
        <v>175</v>
      </c>
      <c r="J24" s="728" t="s">
        <v>593</v>
      </c>
      <c r="K24" s="729">
        <v>1200.0</v>
      </c>
      <c r="M24" s="728" t="s">
        <v>594</v>
      </c>
      <c r="N24" s="780">
        <v>44354.0</v>
      </c>
      <c r="O24" s="781">
        <v>24000.0</v>
      </c>
      <c r="P24" s="742" t="s">
        <v>595</v>
      </c>
      <c r="Q24" s="774"/>
    </row>
    <row r="25">
      <c r="A25" s="735" t="s">
        <v>596</v>
      </c>
      <c r="B25" s="742">
        <v>1730.0</v>
      </c>
      <c r="C25" s="19"/>
      <c r="D25" s="735" t="s">
        <v>597</v>
      </c>
      <c r="E25" s="19" t="s">
        <v>598</v>
      </c>
      <c r="F25" s="19">
        <v>360.0</v>
      </c>
      <c r="G25" s="774">
        <v>15.0</v>
      </c>
      <c r="H25" s="775">
        <f t="shared" si="1"/>
        <v>5400</v>
      </c>
      <c r="J25" s="728" t="s">
        <v>599</v>
      </c>
      <c r="K25" s="745">
        <v>5113.0</v>
      </c>
      <c r="M25" s="728" t="s">
        <v>600</v>
      </c>
      <c r="N25" s="780">
        <v>44359.0</v>
      </c>
      <c r="O25" s="781">
        <v>20000.0</v>
      </c>
      <c r="P25" s="730"/>
      <c r="Q25" s="774"/>
    </row>
    <row r="26">
      <c r="A26" s="735" t="s">
        <v>601</v>
      </c>
      <c r="B26" s="742">
        <v>2860.0</v>
      </c>
      <c r="C26" s="19"/>
      <c r="D26" s="735" t="s">
        <v>602</v>
      </c>
      <c r="E26" s="19" t="s">
        <v>603</v>
      </c>
      <c r="F26" s="19">
        <v>1.75</v>
      </c>
      <c r="G26" s="782">
        <v>1000.0</v>
      </c>
      <c r="H26" s="775">
        <f t="shared" si="1"/>
        <v>1750</v>
      </c>
      <c r="J26" s="728" t="s">
        <v>604</v>
      </c>
      <c r="K26" s="745">
        <v>300.0</v>
      </c>
      <c r="M26" s="735" t="s">
        <v>605</v>
      </c>
      <c r="N26" s="555">
        <v>44420.0</v>
      </c>
      <c r="O26" s="19">
        <v>4000.0</v>
      </c>
      <c r="P26" s="730"/>
      <c r="Q26" s="782"/>
    </row>
    <row r="27">
      <c r="A27" s="783" t="s">
        <v>606</v>
      </c>
      <c r="B27" s="742">
        <v>12000.0</v>
      </c>
      <c r="C27" s="19"/>
      <c r="D27" s="735" t="s">
        <v>607</v>
      </c>
      <c r="E27" s="19" t="s">
        <v>608</v>
      </c>
      <c r="F27" s="19">
        <v>280.0</v>
      </c>
      <c r="G27" s="782">
        <v>1.0</v>
      </c>
      <c r="H27" s="775">
        <f t="shared" si="1"/>
        <v>280</v>
      </c>
      <c r="J27" s="728" t="s">
        <v>609</v>
      </c>
      <c r="K27" s="745">
        <v>900.0</v>
      </c>
      <c r="M27" s="735" t="s">
        <v>610</v>
      </c>
      <c r="N27" s="555">
        <v>44433.0</v>
      </c>
      <c r="O27" s="19">
        <v>7500.0</v>
      </c>
      <c r="P27" s="730"/>
      <c r="Q27" s="782"/>
    </row>
    <row r="28">
      <c r="A28" s="735" t="s">
        <v>611</v>
      </c>
      <c r="B28" s="742">
        <v>500.0</v>
      </c>
      <c r="C28" s="19"/>
      <c r="D28" s="735" t="s">
        <v>612</v>
      </c>
      <c r="E28" s="19" t="s">
        <v>613</v>
      </c>
      <c r="F28" s="19">
        <v>200.0</v>
      </c>
      <c r="G28" s="782">
        <v>1.0</v>
      </c>
      <c r="H28" s="775">
        <f t="shared" si="1"/>
        <v>200</v>
      </c>
      <c r="J28" s="728" t="s">
        <v>614</v>
      </c>
      <c r="K28" s="745">
        <v>7100.0</v>
      </c>
      <c r="M28" s="784" t="s">
        <v>615</v>
      </c>
      <c r="N28" s="785"/>
      <c r="O28" s="786">
        <f>SUM(O4:O27)</f>
        <v>121995</v>
      </c>
      <c r="P28" s="730"/>
      <c r="Q28" s="782"/>
    </row>
    <row r="29">
      <c r="A29" s="735" t="s">
        <v>616</v>
      </c>
      <c r="B29" s="742">
        <v>619.0</v>
      </c>
      <c r="C29" s="19"/>
      <c r="D29" s="735" t="s">
        <v>617</v>
      </c>
      <c r="E29" s="19" t="s">
        <v>618</v>
      </c>
      <c r="F29" s="19">
        <v>115.0</v>
      </c>
      <c r="G29" s="774">
        <v>1.0</v>
      </c>
      <c r="H29" s="775">
        <f t="shared" si="1"/>
        <v>115</v>
      </c>
      <c r="J29" s="787" t="s">
        <v>619</v>
      </c>
      <c r="K29" s="788">
        <v>1018.0</v>
      </c>
      <c r="M29" s="789" t="s">
        <v>620</v>
      </c>
      <c r="N29" s="790"/>
      <c r="O29" s="791">
        <f>O1-O28</f>
        <v>7005</v>
      </c>
      <c r="P29" s="759"/>
      <c r="Q29" s="774"/>
    </row>
    <row r="30">
      <c r="A30" s="735" t="s">
        <v>621</v>
      </c>
      <c r="B30" s="742">
        <v>900.0</v>
      </c>
      <c r="C30" s="19"/>
      <c r="D30" s="735" t="s">
        <v>622</v>
      </c>
      <c r="E30" s="19" t="s">
        <v>623</v>
      </c>
      <c r="F30" s="19">
        <v>70.0</v>
      </c>
      <c r="G30" s="774">
        <v>2.0</v>
      </c>
      <c r="H30" s="775">
        <f t="shared" si="1"/>
        <v>140</v>
      </c>
      <c r="J30" s="792" t="s">
        <v>624</v>
      </c>
      <c r="K30" s="788">
        <v>1372.0</v>
      </c>
      <c r="Q30" s="774"/>
    </row>
    <row r="31">
      <c r="A31" s="735" t="s">
        <v>625</v>
      </c>
      <c r="B31" s="742">
        <v>1200.0</v>
      </c>
      <c r="C31" s="19"/>
      <c r="D31" s="735" t="s">
        <v>626</v>
      </c>
      <c r="E31" s="19" t="s">
        <v>627</v>
      </c>
      <c r="F31" s="19">
        <v>560.0</v>
      </c>
      <c r="G31" s="774">
        <v>4.0</v>
      </c>
      <c r="H31" s="775">
        <f t="shared" si="1"/>
        <v>2240</v>
      </c>
      <c r="J31" s="728" t="s">
        <v>628</v>
      </c>
      <c r="K31" s="750">
        <v>2320.0</v>
      </c>
      <c r="Q31" s="774"/>
    </row>
    <row r="32">
      <c r="A32" s="735" t="s">
        <v>629</v>
      </c>
      <c r="B32" s="742">
        <v>4400.0</v>
      </c>
      <c r="C32" s="19"/>
      <c r="D32" s="735" t="s">
        <v>630</v>
      </c>
      <c r="E32" s="19" t="s">
        <v>631</v>
      </c>
      <c r="F32" s="19">
        <v>42.0</v>
      </c>
      <c r="G32" s="774">
        <v>8.0</v>
      </c>
      <c r="H32" s="775">
        <f t="shared" si="1"/>
        <v>336</v>
      </c>
      <c r="J32" s="793"/>
      <c r="K32" s="794"/>
      <c r="Q32" s="774"/>
    </row>
    <row r="33">
      <c r="A33" s="735" t="s">
        <v>632</v>
      </c>
      <c r="B33" s="742">
        <v>1900.0</v>
      </c>
      <c r="C33" s="19"/>
      <c r="D33" s="735" t="s">
        <v>633</v>
      </c>
      <c r="E33" s="19" t="s">
        <v>623</v>
      </c>
      <c r="F33" s="19">
        <v>70.0</v>
      </c>
      <c r="G33" s="774">
        <v>2.0</v>
      </c>
      <c r="H33" s="775">
        <f t="shared" si="1"/>
        <v>140</v>
      </c>
      <c r="J33" s="793"/>
      <c r="K33" s="794"/>
      <c r="Q33" s="774"/>
    </row>
    <row r="34">
      <c r="A34" s="735" t="s">
        <v>634</v>
      </c>
      <c r="B34" s="742">
        <v>2200.0</v>
      </c>
      <c r="C34" s="19"/>
      <c r="D34" s="735" t="s">
        <v>635</v>
      </c>
      <c r="E34" s="19" t="s">
        <v>636</v>
      </c>
      <c r="F34" s="19">
        <v>420.0</v>
      </c>
      <c r="G34" s="774">
        <v>1.0</v>
      </c>
      <c r="H34" s="775">
        <f t="shared" si="1"/>
        <v>420</v>
      </c>
      <c r="J34" s="728" t="s">
        <v>637</v>
      </c>
      <c r="K34" s="737">
        <v>2000.0</v>
      </c>
      <c r="Q34" s="774"/>
    </row>
    <row r="35">
      <c r="A35" s="783" t="s">
        <v>638</v>
      </c>
      <c r="B35" s="742">
        <v>4000.0</v>
      </c>
      <c r="C35" s="19"/>
      <c r="D35" s="735" t="s">
        <v>639</v>
      </c>
      <c r="E35" s="19" t="s">
        <v>640</v>
      </c>
      <c r="F35" s="19">
        <v>20.0</v>
      </c>
      <c r="G35" s="774">
        <v>10.0</v>
      </c>
      <c r="H35" s="775">
        <f t="shared" si="1"/>
        <v>200</v>
      </c>
      <c r="J35" s="728" t="s">
        <v>641</v>
      </c>
      <c r="K35" s="750">
        <v>6400.0</v>
      </c>
      <c r="Q35" s="774"/>
    </row>
    <row r="36">
      <c r="A36" s="735" t="s">
        <v>642</v>
      </c>
      <c r="B36" s="742">
        <v>100.0</v>
      </c>
      <c r="C36" s="19"/>
      <c r="D36" s="735" t="s">
        <v>643</v>
      </c>
      <c r="E36" s="19" t="s">
        <v>583</v>
      </c>
      <c r="F36" s="19">
        <v>965.0</v>
      </c>
      <c r="G36" s="774">
        <v>4.0</v>
      </c>
      <c r="H36" s="775">
        <f t="shared" si="1"/>
        <v>3860</v>
      </c>
      <c r="J36" s="728" t="s">
        <v>644</v>
      </c>
      <c r="K36" s="767">
        <v>2214.0</v>
      </c>
      <c r="Q36" s="774"/>
    </row>
    <row r="37">
      <c r="A37" s="772" t="s">
        <v>37</v>
      </c>
      <c r="B37" s="795">
        <f>SUM(B24:B36)</f>
        <v>48109</v>
      </c>
      <c r="C37" s="19"/>
      <c r="D37" s="735" t="s">
        <v>645</v>
      </c>
      <c r="E37" s="19" t="s">
        <v>623</v>
      </c>
      <c r="F37" s="19">
        <v>65.0</v>
      </c>
      <c r="G37" s="774">
        <v>2.0</v>
      </c>
      <c r="H37" s="775">
        <f t="shared" si="1"/>
        <v>130</v>
      </c>
      <c r="J37" s="728" t="s">
        <v>646</v>
      </c>
      <c r="K37" s="737">
        <v>5500.0</v>
      </c>
      <c r="N37" s="56"/>
      <c r="Q37" s="774"/>
    </row>
    <row r="38">
      <c r="C38" s="19"/>
      <c r="D38" s="735" t="s">
        <v>647</v>
      </c>
      <c r="E38" s="19" t="s">
        <v>648</v>
      </c>
      <c r="F38" s="19">
        <v>4.5</v>
      </c>
      <c r="G38" s="774">
        <v>50.0</v>
      </c>
      <c r="H38" s="775">
        <f t="shared" si="1"/>
        <v>225</v>
      </c>
      <c r="J38" s="760"/>
      <c r="K38" s="796">
        <f>SUM(K1:K34)</f>
        <v>246649</v>
      </c>
      <c r="N38" s="56"/>
      <c r="Q38" s="774"/>
    </row>
    <row r="39">
      <c r="A39" s="19"/>
      <c r="C39" s="19"/>
      <c r="D39" s="735" t="s">
        <v>649</v>
      </c>
      <c r="E39" s="19" t="s">
        <v>623</v>
      </c>
      <c r="F39" s="19">
        <v>85.0</v>
      </c>
      <c r="G39" s="774">
        <v>2.0</v>
      </c>
      <c r="H39" s="775">
        <f t="shared" si="1"/>
        <v>170</v>
      </c>
      <c r="N39" s="56"/>
      <c r="Q39" s="774"/>
    </row>
    <row r="40">
      <c r="A40" s="713" t="s">
        <v>650</v>
      </c>
      <c r="B40" s="746">
        <v>6400.0</v>
      </c>
      <c r="C40" s="19"/>
      <c r="D40" s="735" t="s">
        <v>651</v>
      </c>
      <c r="E40" s="19" t="s">
        <v>652</v>
      </c>
      <c r="F40" s="19">
        <v>3900.0</v>
      </c>
      <c r="G40" s="774">
        <v>1.0</v>
      </c>
      <c r="H40" s="775">
        <f t="shared" si="1"/>
        <v>3900</v>
      </c>
      <c r="K40" s="774"/>
      <c r="N40" s="56"/>
      <c r="Q40" s="774"/>
    </row>
    <row r="41">
      <c r="A41" s="735" t="s">
        <v>653</v>
      </c>
      <c r="B41" s="742">
        <v>1500.0</v>
      </c>
      <c r="C41" s="19"/>
      <c r="D41" s="735" t="s">
        <v>654</v>
      </c>
      <c r="E41" s="19" t="s">
        <v>655</v>
      </c>
      <c r="F41" s="19">
        <v>840.0</v>
      </c>
      <c r="G41" s="774">
        <v>2.0</v>
      </c>
      <c r="H41" s="775">
        <f t="shared" si="1"/>
        <v>1680</v>
      </c>
      <c r="K41" s="774"/>
      <c r="N41" s="56"/>
      <c r="Q41" s="774"/>
    </row>
    <row r="42">
      <c r="A42" s="735"/>
      <c r="B42" s="797">
        <f>B40+B41</f>
        <v>7900</v>
      </c>
      <c r="C42" s="19"/>
      <c r="D42" s="735" t="s">
        <v>656</v>
      </c>
      <c r="E42" s="19" t="s">
        <v>657</v>
      </c>
      <c r="F42" s="19">
        <v>45.0</v>
      </c>
      <c r="G42" s="774">
        <v>1.0</v>
      </c>
      <c r="H42" s="775">
        <f t="shared" si="1"/>
        <v>45</v>
      </c>
      <c r="J42" s="713" t="s">
        <v>658</v>
      </c>
      <c r="K42" s="798"/>
      <c r="M42" s="19" t="s">
        <v>197</v>
      </c>
      <c r="O42" s="799"/>
      <c r="P42" s="800" t="s">
        <v>197</v>
      </c>
      <c r="Q42" s="801" t="s">
        <v>504</v>
      </c>
      <c r="R42" s="721"/>
    </row>
    <row r="43">
      <c r="A43" s="735"/>
      <c r="B43" s="742"/>
      <c r="C43" s="19"/>
      <c r="D43" s="735" t="s">
        <v>659</v>
      </c>
      <c r="E43" s="19" t="s">
        <v>660</v>
      </c>
      <c r="F43" s="19">
        <v>630.0</v>
      </c>
      <c r="G43" s="774">
        <v>1.0</v>
      </c>
      <c r="H43" s="775">
        <f t="shared" si="1"/>
        <v>630</v>
      </c>
      <c r="J43" s="735" t="s">
        <v>661</v>
      </c>
      <c r="K43" s="802">
        <v>10360.0</v>
      </c>
      <c r="L43" s="803">
        <v>45043.0</v>
      </c>
      <c r="O43" s="735"/>
      <c r="R43" s="730"/>
    </row>
    <row r="44">
      <c r="A44" s="735" t="s">
        <v>650</v>
      </c>
      <c r="B44" s="742">
        <v>6400.0</v>
      </c>
      <c r="C44" s="19"/>
      <c r="D44" s="735" t="s">
        <v>662</v>
      </c>
      <c r="E44" s="19" t="s">
        <v>660</v>
      </c>
      <c r="F44" s="19">
        <v>215.0</v>
      </c>
      <c r="G44" s="774">
        <v>1.0</v>
      </c>
      <c r="H44" s="775">
        <f t="shared" si="1"/>
        <v>215</v>
      </c>
      <c r="J44" s="735" t="s">
        <v>663</v>
      </c>
      <c r="K44" s="742">
        <v>280.0</v>
      </c>
      <c r="L44" s="803">
        <v>45043.0</v>
      </c>
      <c r="M44" s="713" t="s">
        <v>664</v>
      </c>
      <c r="N44" s="804">
        <v>2500.0</v>
      </c>
      <c r="O44" s="735" t="s">
        <v>513</v>
      </c>
      <c r="P44" s="782">
        <v>2500.0</v>
      </c>
      <c r="Q44" s="19">
        <v>3000.0</v>
      </c>
      <c r="R44" s="730"/>
    </row>
    <row r="45">
      <c r="A45" s="735" t="s">
        <v>653</v>
      </c>
      <c r="B45" s="742">
        <v>1500.0</v>
      </c>
      <c r="C45" s="19"/>
      <c r="D45" s="735" t="s">
        <v>665</v>
      </c>
      <c r="E45" s="19" t="s">
        <v>660</v>
      </c>
      <c r="F45" s="19">
        <v>195.0</v>
      </c>
      <c r="G45" s="774">
        <v>1.0</v>
      </c>
      <c r="H45" s="775">
        <f t="shared" si="1"/>
        <v>195</v>
      </c>
      <c r="J45" s="735" t="s">
        <v>666</v>
      </c>
      <c r="K45" s="802">
        <v>1900.0</v>
      </c>
      <c r="L45" s="803">
        <v>45044.0</v>
      </c>
      <c r="M45" s="735" t="s">
        <v>667</v>
      </c>
      <c r="N45" s="802">
        <v>9000.0</v>
      </c>
      <c r="O45" s="735" t="s">
        <v>668</v>
      </c>
      <c r="P45" s="782">
        <v>9000.0</v>
      </c>
      <c r="Q45" s="782">
        <f>10360+280+100+380</f>
        <v>11120</v>
      </c>
      <c r="R45" s="730"/>
    </row>
    <row r="46">
      <c r="A46" s="772"/>
      <c r="B46" s="805">
        <f>B44+B45</f>
        <v>7900</v>
      </c>
      <c r="C46" s="19"/>
      <c r="D46" s="735" t="s">
        <v>669</v>
      </c>
      <c r="E46" s="19" t="s">
        <v>670</v>
      </c>
      <c r="F46" s="19">
        <v>20.0</v>
      </c>
      <c r="G46" s="774">
        <v>20.0</v>
      </c>
      <c r="H46" s="775">
        <f t="shared" si="1"/>
        <v>400</v>
      </c>
      <c r="J46" s="735" t="s">
        <v>671</v>
      </c>
      <c r="K46" s="802">
        <v>4500.0</v>
      </c>
      <c r="L46" s="803">
        <v>45044.0</v>
      </c>
      <c r="M46" s="735" t="s">
        <v>672</v>
      </c>
      <c r="N46" s="802">
        <v>1500.0</v>
      </c>
      <c r="O46" s="735" t="s">
        <v>672</v>
      </c>
      <c r="P46" s="782">
        <v>1500.0</v>
      </c>
      <c r="Q46" s="19">
        <v>550.0</v>
      </c>
      <c r="R46" s="730"/>
    </row>
    <row r="47">
      <c r="A47" s="19"/>
      <c r="B47" s="19"/>
      <c r="C47" s="19"/>
      <c r="D47" s="735" t="s">
        <v>673</v>
      </c>
      <c r="E47" s="19" t="s">
        <v>674</v>
      </c>
      <c r="F47" s="19">
        <v>10.0</v>
      </c>
      <c r="G47" s="774">
        <v>10.0</v>
      </c>
      <c r="H47" s="775">
        <f t="shared" si="1"/>
        <v>100</v>
      </c>
      <c r="J47" s="735" t="s">
        <v>675</v>
      </c>
      <c r="K47" s="802">
        <v>1190.0</v>
      </c>
      <c r="L47" s="803">
        <v>45045.0</v>
      </c>
      <c r="M47" s="735" t="s">
        <v>676</v>
      </c>
      <c r="N47" s="802">
        <v>3000.0</v>
      </c>
      <c r="O47" s="735" t="s">
        <v>676</v>
      </c>
      <c r="P47" s="782">
        <v>3000.0</v>
      </c>
      <c r="Q47" s="19">
        <f>1190+780+320</f>
        <v>2290</v>
      </c>
      <c r="R47" s="730"/>
    </row>
    <row r="48">
      <c r="A48" s="663" t="s">
        <v>677</v>
      </c>
      <c r="B48" s="806">
        <v>30000.0</v>
      </c>
      <c r="C48" s="19"/>
      <c r="D48" s="735" t="s">
        <v>678</v>
      </c>
      <c r="E48" s="19" t="s">
        <v>679</v>
      </c>
      <c r="F48" s="19">
        <v>22.0</v>
      </c>
      <c r="G48" s="774">
        <v>2.0</v>
      </c>
      <c r="H48" s="775">
        <f t="shared" si="1"/>
        <v>44</v>
      </c>
      <c r="J48" s="735" t="s">
        <v>680</v>
      </c>
      <c r="K48" s="802">
        <v>780.0</v>
      </c>
      <c r="L48" s="803">
        <v>45047.0</v>
      </c>
      <c r="M48" s="735" t="s">
        <v>532</v>
      </c>
      <c r="N48" s="802">
        <v>2500.0</v>
      </c>
      <c r="O48" s="735" t="s">
        <v>681</v>
      </c>
      <c r="P48" s="782">
        <v>2500.0</v>
      </c>
      <c r="Q48" s="19">
        <f>4400+2600+1000</f>
        <v>8000</v>
      </c>
      <c r="R48" s="730"/>
    </row>
    <row r="49">
      <c r="A49" s="19"/>
      <c r="B49" s="19"/>
      <c r="C49" s="19"/>
      <c r="D49" s="735" t="s">
        <v>682</v>
      </c>
      <c r="E49" s="19" t="s">
        <v>683</v>
      </c>
      <c r="F49" s="19">
        <v>85.0</v>
      </c>
      <c r="G49" s="774">
        <v>2.0</v>
      </c>
      <c r="H49" s="775">
        <f t="shared" si="1"/>
        <v>170</v>
      </c>
      <c r="J49" s="735" t="s">
        <v>684</v>
      </c>
      <c r="K49" s="802">
        <v>320.0</v>
      </c>
      <c r="M49" s="735" t="s">
        <v>541</v>
      </c>
      <c r="N49" s="802">
        <v>10000.0</v>
      </c>
      <c r="O49" s="735" t="s">
        <v>541</v>
      </c>
      <c r="P49" s="782">
        <v>10000.0</v>
      </c>
      <c r="Q49">
        <f>4673+390.5</f>
        <v>5063.5</v>
      </c>
      <c r="R49" s="730"/>
    </row>
    <row r="50">
      <c r="A50" s="807" t="s">
        <v>685</v>
      </c>
      <c r="B50" s="808">
        <v>15500.0</v>
      </c>
      <c r="C50" s="19"/>
      <c r="D50" s="735" t="s">
        <v>686</v>
      </c>
      <c r="E50" s="19" t="s">
        <v>687</v>
      </c>
      <c r="F50" s="19">
        <v>43.0</v>
      </c>
      <c r="G50" s="774">
        <v>1.0</v>
      </c>
      <c r="H50" s="775">
        <f t="shared" si="1"/>
        <v>43</v>
      </c>
      <c r="J50" s="735" t="s">
        <v>688</v>
      </c>
      <c r="K50" s="802">
        <v>2600.0</v>
      </c>
      <c r="M50" s="735" t="s">
        <v>689</v>
      </c>
      <c r="N50" s="802">
        <v>2500.0</v>
      </c>
      <c r="O50" s="735" t="s">
        <v>690</v>
      </c>
      <c r="P50" s="782">
        <v>2500.0</v>
      </c>
      <c r="Q50" s="19">
        <v>1900.0</v>
      </c>
      <c r="R50" s="730"/>
    </row>
    <row r="51">
      <c r="A51" s="543" t="s">
        <v>691</v>
      </c>
      <c r="B51" s="546">
        <v>12000.0</v>
      </c>
      <c r="C51" s="19"/>
      <c r="D51" s="735" t="s">
        <v>692</v>
      </c>
      <c r="E51" s="19" t="s">
        <v>693</v>
      </c>
      <c r="F51" s="19">
        <v>220.0</v>
      </c>
      <c r="G51" s="774">
        <v>8.0</v>
      </c>
      <c r="H51" s="775">
        <f t="shared" si="1"/>
        <v>1760</v>
      </c>
      <c r="J51" s="735" t="s">
        <v>694</v>
      </c>
      <c r="K51" s="802">
        <v>3000.0</v>
      </c>
      <c r="M51" s="760"/>
      <c r="N51" s="761">
        <f>SUM(N43:N50)</f>
        <v>31000</v>
      </c>
      <c r="O51" s="726"/>
      <c r="P51" s="774"/>
      <c r="R51" s="809" t="s">
        <v>37</v>
      </c>
    </row>
    <row r="52">
      <c r="A52" s="810"/>
      <c r="B52" s="546"/>
      <c r="C52" s="19"/>
      <c r="D52" s="735" t="s">
        <v>695</v>
      </c>
      <c r="E52" s="19" t="s">
        <v>696</v>
      </c>
      <c r="F52" s="19">
        <v>60.0</v>
      </c>
      <c r="G52" s="774">
        <v>14.0</v>
      </c>
      <c r="H52" s="775">
        <f t="shared" si="1"/>
        <v>840</v>
      </c>
      <c r="J52" s="735" t="s">
        <v>697</v>
      </c>
      <c r="K52" s="802">
        <v>1300.0</v>
      </c>
      <c r="O52" s="760"/>
      <c r="P52" s="811">
        <f t="shared" ref="P52:Q52" si="2">SUM(P43:P51)</f>
        <v>31000</v>
      </c>
      <c r="Q52" s="812">
        <f t="shared" si="2"/>
        <v>31923.5</v>
      </c>
      <c r="R52" s="761">
        <f>SUM(P52:Q52)</f>
        <v>62923.5</v>
      </c>
    </row>
    <row r="53">
      <c r="A53" s="543" t="s">
        <v>698</v>
      </c>
      <c r="B53" s="546"/>
      <c r="C53" s="19"/>
      <c r="D53" s="735" t="s">
        <v>699</v>
      </c>
      <c r="E53" s="19" t="s">
        <v>700</v>
      </c>
      <c r="F53" s="19">
        <v>280.0</v>
      </c>
      <c r="G53" s="774">
        <v>9.0</v>
      </c>
      <c r="H53" s="775">
        <f t="shared" si="1"/>
        <v>2520</v>
      </c>
      <c r="J53" s="735" t="s">
        <v>701</v>
      </c>
      <c r="K53" s="742">
        <v>1800.0</v>
      </c>
      <c r="M53" s="19" t="s">
        <v>504</v>
      </c>
    </row>
    <row r="54">
      <c r="A54" s="543" t="s">
        <v>702</v>
      </c>
      <c r="B54" s="546">
        <v>3000.0</v>
      </c>
      <c r="C54" s="19"/>
      <c r="D54" s="735" t="s">
        <v>703</v>
      </c>
      <c r="E54" s="19" t="s">
        <v>704</v>
      </c>
      <c r="F54" s="19">
        <v>58.0</v>
      </c>
      <c r="G54" s="774">
        <v>12.0</v>
      </c>
      <c r="H54" s="775">
        <f t="shared" si="1"/>
        <v>696</v>
      </c>
      <c r="J54" s="735" t="s">
        <v>705</v>
      </c>
      <c r="K54" s="742">
        <v>588.0</v>
      </c>
      <c r="Q54" s="774"/>
    </row>
    <row r="55">
      <c r="A55" s="813" t="s">
        <v>706</v>
      </c>
      <c r="B55" s="814">
        <v>6000.0</v>
      </c>
      <c r="C55" s="19"/>
      <c r="D55" s="735" t="s">
        <v>707</v>
      </c>
      <c r="E55" s="19" t="s">
        <v>708</v>
      </c>
      <c r="F55" s="19">
        <v>65.0</v>
      </c>
      <c r="G55" s="774">
        <v>1.0</v>
      </c>
      <c r="H55" s="775">
        <f t="shared" si="1"/>
        <v>65</v>
      </c>
      <c r="J55" s="815" t="s">
        <v>709</v>
      </c>
      <c r="K55" s="816">
        <v>3000.0</v>
      </c>
      <c r="Q55" s="774"/>
    </row>
    <row r="56">
      <c r="B56" s="19"/>
      <c r="C56" s="19"/>
      <c r="D56" s="735" t="s">
        <v>710</v>
      </c>
      <c r="E56" s="19" t="s">
        <v>711</v>
      </c>
      <c r="F56" s="19">
        <v>170.0</v>
      </c>
      <c r="G56" s="782">
        <v>107.0</v>
      </c>
      <c r="H56" s="775">
        <f t="shared" si="1"/>
        <v>18190</v>
      </c>
      <c r="J56" s="815" t="s">
        <v>709</v>
      </c>
      <c r="K56" s="816">
        <v>5000.0</v>
      </c>
      <c r="M56" s="19" t="s">
        <v>712</v>
      </c>
      <c r="N56" s="19">
        <v>500.0</v>
      </c>
      <c r="O56" s="19" t="s">
        <v>713</v>
      </c>
      <c r="P56">
        <f>N51-P52</f>
        <v>0</v>
      </c>
      <c r="Q56" s="782"/>
    </row>
    <row r="57">
      <c r="B57" s="19"/>
      <c r="C57" s="19"/>
      <c r="D57" s="735" t="s">
        <v>714</v>
      </c>
      <c r="E57" s="19" t="s">
        <v>715</v>
      </c>
      <c r="F57" s="19">
        <v>25.0</v>
      </c>
      <c r="G57" s="19">
        <v>80.0</v>
      </c>
      <c r="H57" s="775">
        <f t="shared" si="1"/>
        <v>2000</v>
      </c>
      <c r="J57" s="815" t="s">
        <v>709</v>
      </c>
      <c r="K57" s="816">
        <v>1000.0</v>
      </c>
    </row>
    <row r="58">
      <c r="B58" s="19"/>
      <c r="C58" s="19"/>
      <c r="D58" s="735" t="s">
        <v>716</v>
      </c>
      <c r="E58" s="19" t="s">
        <v>618</v>
      </c>
      <c r="F58" s="19">
        <v>300.0</v>
      </c>
      <c r="G58" s="19">
        <v>1.0</v>
      </c>
      <c r="H58" s="775">
        <f t="shared" si="1"/>
        <v>300</v>
      </c>
      <c r="J58" s="815" t="s">
        <v>717</v>
      </c>
      <c r="K58" s="816">
        <v>2000.0</v>
      </c>
      <c r="M58" s="19"/>
      <c r="N58" s="19"/>
    </row>
    <row r="59">
      <c r="B59" s="19"/>
      <c r="C59" s="19"/>
      <c r="D59" s="735" t="s">
        <v>718</v>
      </c>
      <c r="E59" s="19" t="s">
        <v>618</v>
      </c>
      <c r="F59" s="19">
        <v>165.0</v>
      </c>
      <c r="G59" s="19">
        <v>2.0</v>
      </c>
      <c r="H59" s="775">
        <f t="shared" si="1"/>
        <v>330</v>
      </c>
      <c r="J59" s="815" t="s">
        <v>719</v>
      </c>
      <c r="K59" s="817">
        <v>1000.0</v>
      </c>
      <c r="P59" s="19" t="s">
        <v>720</v>
      </c>
    </row>
    <row r="60">
      <c r="B60" s="19"/>
      <c r="C60" s="19"/>
      <c r="D60" s="735" t="s">
        <v>721</v>
      </c>
      <c r="H60" s="727">
        <v>2500.0</v>
      </c>
      <c r="J60" s="735" t="s">
        <v>722</v>
      </c>
      <c r="K60" s="742">
        <v>700.0</v>
      </c>
    </row>
    <row r="61">
      <c r="D61" s="760"/>
      <c r="E61" s="812"/>
      <c r="F61" s="812"/>
      <c r="G61" s="812"/>
      <c r="H61" s="818">
        <f>SUM(H20:H60)</f>
        <v>56876</v>
      </c>
      <c r="J61" s="819" t="s">
        <v>197</v>
      </c>
      <c r="K61" s="820">
        <v>10000.0</v>
      </c>
    </row>
    <row r="62">
      <c r="J62" s="735" t="s">
        <v>723</v>
      </c>
      <c r="K62" s="742">
        <v>5063.0</v>
      </c>
    </row>
    <row r="63">
      <c r="J63" s="735" t="s">
        <v>724</v>
      </c>
      <c r="K63" s="742">
        <v>380.0</v>
      </c>
      <c r="N63" s="821"/>
    </row>
    <row r="64">
      <c r="B64" s="56"/>
      <c r="C64" s="56"/>
      <c r="D64" s="56" t="s">
        <v>49</v>
      </c>
      <c r="E64" s="821"/>
      <c r="F64" s="56" t="s">
        <v>725</v>
      </c>
      <c r="J64" s="735" t="s">
        <v>726</v>
      </c>
      <c r="K64" s="742">
        <v>1000.0</v>
      </c>
    </row>
    <row r="65">
      <c r="B65" s="56"/>
      <c r="C65" s="56"/>
      <c r="D65" s="56" t="s">
        <v>727</v>
      </c>
      <c r="E65" s="821"/>
      <c r="F65" s="822" t="s">
        <v>728</v>
      </c>
      <c r="J65" s="735" t="s">
        <v>729</v>
      </c>
      <c r="K65" s="766">
        <f>P56+N63</f>
        <v>0</v>
      </c>
    </row>
    <row r="66">
      <c r="B66" s="56"/>
      <c r="C66" s="56"/>
      <c r="D66" s="56" t="s">
        <v>730</v>
      </c>
      <c r="F66" s="378">
        <v>30000.0</v>
      </c>
      <c r="J66" s="735" t="s">
        <v>731</v>
      </c>
      <c r="K66" s="742">
        <v>550.0</v>
      </c>
    </row>
    <row r="67">
      <c r="B67" s="56"/>
      <c r="C67" s="56"/>
      <c r="D67" s="56" t="s">
        <v>732</v>
      </c>
      <c r="F67" s="823">
        <f>H61-F66</f>
        <v>26876</v>
      </c>
      <c r="J67" s="735" t="s">
        <v>37</v>
      </c>
      <c r="K67" s="766">
        <f>K65+R52</f>
        <v>62923.5</v>
      </c>
    </row>
    <row r="68">
      <c r="J68" s="735" t="s">
        <v>733</v>
      </c>
      <c r="K68" s="742">
        <v>30000.0</v>
      </c>
    </row>
    <row r="69">
      <c r="J69" s="772" t="s">
        <v>37</v>
      </c>
      <c r="K69" s="761">
        <f>SUM(K67:K68)</f>
        <v>92923.5</v>
      </c>
    </row>
    <row r="78">
      <c r="D78" s="56"/>
      <c r="F78" s="27"/>
    </row>
    <row r="79">
      <c r="D79" s="56" t="s">
        <v>734</v>
      </c>
      <c r="E79" s="19" t="s">
        <v>735</v>
      </c>
      <c r="G79" s="27">
        <v>40000.0</v>
      </c>
    </row>
    <row r="80">
      <c r="D80" s="56" t="s">
        <v>736</v>
      </c>
      <c r="F80" s="27"/>
      <c r="G80" s="402">
        <v>50000.0</v>
      </c>
    </row>
    <row r="81">
      <c r="D81" s="56"/>
      <c r="F81" s="27"/>
      <c r="G81" s="402"/>
    </row>
    <row r="82">
      <c r="D82" s="56" t="s">
        <v>737</v>
      </c>
      <c r="G82" s="27">
        <v>10000.0</v>
      </c>
    </row>
    <row r="83">
      <c r="D83" s="56"/>
      <c r="F83" s="27"/>
      <c r="G83" s="30">
        <f>SUM(G79:G82)</f>
        <v>100000</v>
      </c>
    </row>
    <row r="84">
      <c r="F84" s="27"/>
    </row>
    <row r="86">
      <c r="F86" s="30"/>
    </row>
    <row r="89">
      <c r="F89" s="30"/>
    </row>
    <row r="90">
      <c r="F90" s="30"/>
    </row>
    <row r="91">
      <c r="F91" s="30"/>
    </row>
    <row r="92">
      <c r="F92" s="30"/>
    </row>
  </sheetData>
  <mergeCells count="1">
    <mergeCell ref="Q1:R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7.25"/>
    <col customWidth="1" min="7" max="7" width="5.13"/>
    <col customWidth="1" min="8" max="8" width="17.25"/>
  </cols>
  <sheetData>
    <row r="1">
      <c r="A1" s="824" t="s">
        <v>738</v>
      </c>
      <c r="B1" s="825" t="s">
        <v>739</v>
      </c>
      <c r="C1" s="825" t="s">
        <v>740</v>
      </c>
      <c r="D1" s="824" t="s">
        <v>741</v>
      </c>
      <c r="E1" s="824" t="s">
        <v>46</v>
      </c>
      <c r="F1" s="27"/>
      <c r="G1" s="826"/>
      <c r="H1" s="826"/>
    </row>
    <row r="2">
      <c r="A2" s="827">
        <v>46083.0</v>
      </c>
      <c r="B2" s="828" t="s">
        <v>742</v>
      </c>
      <c r="C2" s="828">
        <v>4.0</v>
      </c>
      <c r="D2" s="829">
        <v>6.0</v>
      </c>
      <c r="E2" s="829">
        <f t="shared" ref="E2:E21" si="1">C2*D2</f>
        <v>24</v>
      </c>
      <c r="F2" s="27"/>
      <c r="G2" s="56"/>
      <c r="H2" s="56"/>
    </row>
    <row r="3">
      <c r="A3" s="827">
        <v>46084.0</v>
      </c>
      <c r="B3" s="828" t="s">
        <v>742</v>
      </c>
      <c r="C3" s="828">
        <v>4.0</v>
      </c>
      <c r="D3" s="829">
        <v>6.0</v>
      </c>
      <c r="E3" s="829">
        <f t="shared" si="1"/>
        <v>24</v>
      </c>
      <c r="F3" s="27"/>
    </row>
    <row r="4">
      <c r="A4" s="827">
        <v>46085.0</v>
      </c>
      <c r="B4" s="828" t="s">
        <v>742</v>
      </c>
      <c r="C4" s="828">
        <v>4.0</v>
      </c>
      <c r="D4" s="829">
        <v>6.0</v>
      </c>
      <c r="E4" s="829">
        <f t="shared" si="1"/>
        <v>24</v>
      </c>
      <c r="F4" s="27"/>
    </row>
    <row r="5">
      <c r="A5" s="827">
        <v>46086.0</v>
      </c>
      <c r="B5" s="828" t="s">
        <v>742</v>
      </c>
      <c r="C5" s="828">
        <v>4.0</v>
      </c>
      <c r="D5" s="829">
        <v>6.0</v>
      </c>
      <c r="E5" s="829">
        <f t="shared" si="1"/>
        <v>24</v>
      </c>
      <c r="F5" s="27"/>
    </row>
    <row r="6">
      <c r="A6" s="827">
        <v>46087.0</v>
      </c>
      <c r="B6" s="828" t="s">
        <v>742</v>
      </c>
      <c r="C6" s="828">
        <v>4.0</v>
      </c>
      <c r="D6" s="829">
        <v>6.0</v>
      </c>
      <c r="E6" s="829">
        <f t="shared" si="1"/>
        <v>24</v>
      </c>
      <c r="F6" s="27"/>
      <c r="G6" s="33"/>
      <c r="H6" s="33"/>
    </row>
    <row r="7">
      <c r="A7" s="827">
        <v>46090.0</v>
      </c>
      <c r="B7" s="828" t="s">
        <v>742</v>
      </c>
      <c r="C7" s="828">
        <v>4.0</v>
      </c>
      <c r="D7" s="829">
        <v>6.0</v>
      </c>
      <c r="E7" s="829">
        <f t="shared" si="1"/>
        <v>24</v>
      </c>
      <c r="F7" s="27"/>
      <c r="G7" s="33"/>
      <c r="H7" s="33"/>
    </row>
    <row r="8">
      <c r="A8" s="827">
        <v>46091.0</v>
      </c>
      <c r="B8" s="828" t="s">
        <v>742</v>
      </c>
      <c r="C8" s="828">
        <v>4.0</v>
      </c>
      <c r="D8" s="829">
        <v>6.0</v>
      </c>
      <c r="E8" s="829">
        <f t="shared" si="1"/>
        <v>24</v>
      </c>
      <c r="F8" s="27"/>
      <c r="G8" s="635"/>
      <c r="H8" s="635"/>
    </row>
    <row r="9">
      <c r="A9" s="827">
        <v>46092.0</v>
      </c>
      <c r="B9" s="828" t="s">
        <v>742</v>
      </c>
      <c r="C9" s="828">
        <v>4.0</v>
      </c>
      <c r="D9" s="829">
        <v>6.0</v>
      </c>
      <c r="E9" s="829">
        <f t="shared" si="1"/>
        <v>24</v>
      </c>
      <c r="F9" s="27"/>
      <c r="G9" s="635"/>
      <c r="H9" s="635"/>
    </row>
    <row r="10">
      <c r="A10" s="827">
        <v>46093.0</v>
      </c>
      <c r="B10" s="828" t="s">
        <v>742</v>
      </c>
      <c r="C10" s="828">
        <v>4.0</v>
      </c>
      <c r="D10" s="829">
        <v>6.0</v>
      </c>
      <c r="E10" s="829">
        <f t="shared" si="1"/>
        <v>24</v>
      </c>
      <c r="F10" s="27"/>
      <c r="G10" s="635"/>
      <c r="H10" s="635"/>
    </row>
    <row r="11">
      <c r="A11" s="827">
        <v>46094.0</v>
      </c>
      <c r="B11" s="830" t="s">
        <v>742</v>
      </c>
      <c r="C11" s="828">
        <v>4.0</v>
      </c>
      <c r="D11" s="829">
        <v>6.0</v>
      </c>
      <c r="E11" s="829">
        <f t="shared" si="1"/>
        <v>24</v>
      </c>
      <c r="G11" s="635"/>
      <c r="H11" s="635"/>
    </row>
    <row r="12">
      <c r="A12" s="827">
        <v>46097.0</v>
      </c>
      <c r="B12" s="830" t="s">
        <v>742</v>
      </c>
      <c r="C12" s="828">
        <v>4.0</v>
      </c>
      <c r="D12" s="829">
        <v>6.0</v>
      </c>
      <c r="E12" s="829">
        <f t="shared" si="1"/>
        <v>24</v>
      </c>
      <c r="F12" s="831"/>
    </row>
    <row r="13">
      <c r="A13" s="827">
        <v>46098.0</v>
      </c>
      <c r="B13" s="830" t="s">
        <v>742</v>
      </c>
      <c r="C13" s="828">
        <v>4.0</v>
      </c>
      <c r="D13" s="829">
        <v>6.0</v>
      </c>
      <c r="E13" s="829">
        <f t="shared" si="1"/>
        <v>24</v>
      </c>
    </row>
    <row r="14">
      <c r="A14" s="827">
        <v>46099.0</v>
      </c>
      <c r="B14" s="830" t="s">
        <v>742</v>
      </c>
      <c r="C14" s="828">
        <v>4.0</v>
      </c>
      <c r="D14" s="829">
        <v>6.0</v>
      </c>
      <c r="E14" s="829">
        <f t="shared" si="1"/>
        <v>24</v>
      </c>
    </row>
    <row r="15">
      <c r="A15" s="827">
        <v>46100.0</v>
      </c>
      <c r="B15" s="830" t="s">
        <v>742</v>
      </c>
      <c r="C15" s="828">
        <v>4.0</v>
      </c>
      <c r="D15" s="829">
        <v>6.0</v>
      </c>
      <c r="E15" s="829">
        <f t="shared" si="1"/>
        <v>24</v>
      </c>
    </row>
    <row r="16">
      <c r="A16" s="827">
        <v>46101.0</v>
      </c>
      <c r="B16" s="830" t="s">
        <v>742</v>
      </c>
      <c r="C16" s="828">
        <v>4.0</v>
      </c>
      <c r="D16" s="829">
        <v>6.0</v>
      </c>
      <c r="E16" s="829">
        <f t="shared" si="1"/>
        <v>24</v>
      </c>
    </row>
    <row r="17">
      <c r="A17" s="827">
        <v>46104.0</v>
      </c>
      <c r="B17" s="830" t="s">
        <v>742</v>
      </c>
      <c r="C17" s="828">
        <v>4.0</v>
      </c>
      <c r="D17" s="829">
        <v>6.0</v>
      </c>
      <c r="E17" s="829">
        <f t="shared" si="1"/>
        <v>24</v>
      </c>
    </row>
    <row r="18">
      <c r="A18" s="827">
        <v>46105.0</v>
      </c>
      <c r="B18" s="830" t="s">
        <v>742</v>
      </c>
      <c r="C18" s="828">
        <v>4.0</v>
      </c>
      <c r="D18" s="829">
        <v>6.0</v>
      </c>
      <c r="E18" s="829">
        <f t="shared" si="1"/>
        <v>24</v>
      </c>
    </row>
    <row r="19">
      <c r="A19" s="827">
        <v>46106.0</v>
      </c>
      <c r="B19" s="830" t="s">
        <v>742</v>
      </c>
      <c r="C19" s="828">
        <v>4.0</v>
      </c>
      <c r="D19" s="829">
        <v>6.0</v>
      </c>
      <c r="E19" s="829">
        <f t="shared" si="1"/>
        <v>24</v>
      </c>
    </row>
    <row r="20">
      <c r="A20" s="827">
        <v>46107.0</v>
      </c>
      <c r="B20" s="830" t="s">
        <v>742</v>
      </c>
      <c r="C20" s="828">
        <v>4.0</v>
      </c>
      <c r="D20" s="829">
        <v>6.0</v>
      </c>
      <c r="E20" s="829">
        <f t="shared" si="1"/>
        <v>24</v>
      </c>
    </row>
    <row r="21">
      <c r="A21" s="827">
        <v>46108.0</v>
      </c>
      <c r="B21" s="830" t="s">
        <v>742</v>
      </c>
      <c r="C21" s="828">
        <v>4.0</v>
      </c>
      <c r="D21" s="829">
        <v>6.0</v>
      </c>
      <c r="E21" s="829">
        <f t="shared" si="1"/>
        <v>24</v>
      </c>
      <c r="F21" s="56"/>
      <c r="G21" s="56"/>
      <c r="H21" s="56"/>
    </row>
    <row r="22">
      <c r="A22" s="825" t="s">
        <v>37</v>
      </c>
      <c r="B22" s="33"/>
      <c r="E22" s="829">
        <f>SUM(E2:E21)</f>
        <v>480</v>
      </c>
    </row>
    <row r="23">
      <c r="A23" s="27"/>
      <c r="B23" s="33"/>
    </row>
    <row r="24">
      <c r="A24" s="832"/>
      <c r="B24" s="635"/>
      <c r="C24" s="56"/>
      <c r="D24" s="56"/>
      <c r="E24" s="56"/>
      <c r="F24" s="56"/>
      <c r="G24" s="56"/>
      <c r="H24" s="56"/>
    </row>
    <row r="25">
      <c r="B25" s="833"/>
      <c r="C25" s="833"/>
      <c r="D25" s="834"/>
    </row>
    <row r="26">
      <c r="A26" s="832"/>
      <c r="B26" s="635"/>
    </row>
    <row r="27">
      <c r="A27" s="832"/>
      <c r="B27" s="635"/>
    </row>
    <row r="31">
      <c r="A31" s="835"/>
      <c r="B31" s="558"/>
    </row>
    <row r="32">
      <c r="A32" s="835"/>
      <c r="B32" s="558"/>
    </row>
    <row r="33">
      <c r="A33" s="835"/>
      <c r="B33" s="558"/>
    </row>
    <row r="34">
      <c r="A34" s="835"/>
      <c r="B34" s="558"/>
    </row>
    <row r="35">
      <c r="A35" s="835"/>
      <c r="B35" s="558"/>
    </row>
    <row r="36">
      <c r="A36" s="835"/>
      <c r="B36" s="558"/>
    </row>
    <row r="37">
      <c r="A37" s="835"/>
      <c r="B37" s="558"/>
    </row>
    <row r="38">
      <c r="A38" s="835"/>
      <c r="B38" s="558"/>
    </row>
    <row r="39">
      <c r="A39" s="835"/>
      <c r="B39" s="558"/>
    </row>
    <row r="40">
      <c r="A40" s="835"/>
      <c r="B40" s="558"/>
    </row>
    <row r="41">
      <c r="A41" s="835"/>
      <c r="B41" s="558"/>
    </row>
    <row r="42">
      <c r="A42" s="835"/>
      <c r="B42" s="558"/>
    </row>
    <row r="43">
      <c r="A43" s="835"/>
      <c r="B43" s="558"/>
    </row>
    <row r="44">
      <c r="A44" s="835"/>
      <c r="B44" s="558"/>
    </row>
    <row r="45">
      <c r="A45" s="835"/>
      <c r="B45" s="558"/>
    </row>
    <row r="46">
      <c r="A46" s="835"/>
      <c r="B46" s="558"/>
    </row>
    <row r="47">
      <c r="A47" s="835"/>
      <c r="B47" s="558"/>
    </row>
    <row r="48">
      <c r="A48" s="835"/>
      <c r="B48" s="558"/>
    </row>
    <row r="49">
      <c r="A49" s="835"/>
      <c r="B49" s="558"/>
    </row>
    <row r="50">
      <c r="A50" s="835"/>
      <c r="B50" s="558"/>
    </row>
    <row r="51">
      <c r="A51" s="835"/>
      <c r="B51" s="558"/>
    </row>
    <row r="52">
      <c r="A52" s="835"/>
      <c r="B52" s="558"/>
    </row>
    <row r="53">
      <c r="A53" s="835"/>
      <c r="B53" s="558"/>
    </row>
    <row r="54">
      <c r="A54" s="835"/>
      <c r="B54" s="558"/>
    </row>
    <row r="55">
      <c r="A55" s="835"/>
      <c r="B55" s="558"/>
    </row>
    <row r="56">
      <c r="A56" s="835"/>
      <c r="B56" s="558"/>
    </row>
    <row r="57">
      <c r="A57" s="835"/>
      <c r="B57" s="558"/>
    </row>
    <row r="58">
      <c r="A58" s="835"/>
      <c r="B58" s="558"/>
    </row>
    <row r="59">
      <c r="A59" s="835"/>
      <c r="B59" s="558"/>
    </row>
    <row r="60">
      <c r="A60" s="835"/>
      <c r="B60" s="558"/>
    </row>
    <row r="61">
      <c r="A61" s="835"/>
      <c r="B61" s="558"/>
    </row>
    <row r="62">
      <c r="A62" s="835"/>
      <c r="B62" s="558"/>
    </row>
    <row r="63">
      <c r="A63" s="835"/>
      <c r="B63" s="558"/>
    </row>
    <row r="64">
      <c r="A64" s="835"/>
      <c r="B64" s="558"/>
    </row>
    <row r="65">
      <c r="A65" s="835"/>
      <c r="B65" s="558"/>
    </row>
    <row r="66">
      <c r="A66" s="835"/>
      <c r="B66" s="558"/>
    </row>
    <row r="67">
      <c r="A67" s="835"/>
      <c r="B67" s="558"/>
    </row>
    <row r="68">
      <c r="A68" s="835"/>
      <c r="B68" s="558"/>
    </row>
    <row r="69">
      <c r="A69" s="835"/>
      <c r="B69" s="558"/>
    </row>
    <row r="70">
      <c r="A70" s="835"/>
      <c r="B70" s="558"/>
    </row>
    <row r="71">
      <c r="A71" s="835"/>
      <c r="B71" s="558"/>
    </row>
    <row r="72">
      <c r="A72" s="835"/>
      <c r="B72" s="558"/>
    </row>
    <row r="73">
      <c r="A73" s="835"/>
      <c r="B73" s="558"/>
    </row>
    <row r="74">
      <c r="A74" s="835"/>
      <c r="B74" s="558"/>
    </row>
    <row r="75">
      <c r="A75" s="835"/>
      <c r="B75" s="558"/>
    </row>
    <row r="76">
      <c r="A76" s="835"/>
      <c r="B76" s="558"/>
    </row>
    <row r="77">
      <c r="A77" s="835"/>
      <c r="B77" s="558"/>
    </row>
    <row r="78">
      <c r="A78" s="835"/>
      <c r="B78" s="558"/>
    </row>
    <row r="79">
      <c r="A79" s="835"/>
      <c r="B79" s="558"/>
    </row>
    <row r="80">
      <c r="A80" s="835"/>
      <c r="B80" s="558"/>
    </row>
    <row r="81">
      <c r="A81" s="835"/>
      <c r="B81" s="558"/>
    </row>
    <row r="82">
      <c r="A82" s="835"/>
      <c r="B82" s="558"/>
    </row>
    <row r="83">
      <c r="A83" s="835"/>
      <c r="B83" s="558"/>
    </row>
    <row r="84">
      <c r="A84" s="835"/>
      <c r="B84" s="558"/>
    </row>
    <row r="85">
      <c r="A85" s="835"/>
      <c r="B85" s="558"/>
    </row>
    <row r="86">
      <c r="A86" s="835"/>
      <c r="B86" s="558"/>
    </row>
    <row r="87">
      <c r="A87" s="835"/>
      <c r="B87" s="558"/>
    </row>
    <row r="88">
      <c r="A88" s="835"/>
      <c r="B88" s="558"/>
    </row>
    <row r="89">
      <c r="A89" s="835"/>
      <c r="B89" s="558"/>
    </row>
    <row r="90">
      <c r="A90" s="835"/>
      <c r="B90" s="558"/>
    </row>
    <row r="91">
      <c r="A91" s="835"/>
      <c r="B91" s="558"/>
    </row>
    <row r="92">
      <c r="A92" s="835"/>
      <c r="B92" s="558"/>
    </row>
    <row r="93">
      <c r="A93" s="835"/>
      <c r="B93" s="558"/>
    </row>
    <row r="94">
      <c r="A94" s="835"/>
      <c r="B94" s="558"/>
    </row>
    <row r="95">
      <c r="A95" s="835"/>
      <c r="B95" s="558"/>
    </row>
    <row r="96">
      <c r="A96" s="835"/>
      <c r="B96" s="558"/>
    </row>
    <row r="97">
      <c r="A97" s="835"/>
      <c r="B97" s="558"/>
    </row>
    <row r="98">
      <c r="A98" s="835"/>
      <c r="B98" s="558"/>
    </row>
    <row r="99">
      <c r="A99" s="835"/>
      <c r="B99" s="558"/>
    </row>
    <row r="100">
      <c r="A100" s="835"/>
      <c r="B100" s="558"/>
    </row>
    <row r="101">
      <c r="A101" s="835"/>
      <c r="B101" s="558"/>
    </row>
    <row r="102">
      <c r="A102" s="835"/>
      <c r="B102" s="558"/>
    </row>
    <row r="103">
      <c r="A103" s="835"/>
      <c r="B103" s="558"/>
    </row>
    <row r="104">
      <c r="A104" s="835"/>
      <c r="B104" s="558"/>
    </row>
    <row r="105">
      <c r="A105" s="835"/>
      <c r="B105" s="558"/>
    </row>
    <row r="106">
      <c r="A106" s="835"/>
      <c r="B106" s="558"/>
    </row>
    <row r="107">
      <c r="A107" s="835"/>
      <c r="B107" s="558"/>
    </row>
    <row r="108">
      <c r="A108" s="835"/>
      <c r="B108" s="558"/>
    </row>
    <row r="109">
      <c r="A109" s="835"/>
      <c r="B109" s="558"/>
    </row>
    <row r="110">
      <c r="A110" s="835"/>
      <c r="B110" s="558"/>
    </row>
    <row r="111">
      <c r="A111" s="835"/>
      <c r="B111" s="558"/>
    </row>
    <row r="112">
      <c r="A112" s="835"/>
      <c r="B112" s="558"/>
    </row>
    <row r="113">
      <c r="A113" s="835"/>
      <c r="B113" s="558"/>
    </row>
    <row r="114">
      <c r="A114" s="835"/>
      <c r="B114" s="558"/>
    </row>
    <row r="115">
      <c r="A115" s="835"/>
      <c r="B115" s="558"/>
    </row>
    <row r="116">
      <c r="A116" s="835"/>
      <c r="B116" s="558"/>
    </row>
    <row r="117">
      <c r="A117" s="835"/>
      <c r="B117" s="558"/>
    </row>
    <row r="118">
      <c r="A118" s="835"/>
      <c r="B118" s="558"/>
    </row>
    <row r="119">
      <c r="A119" s="835"/>
      <c r="B119" s="558"/>
    </row>
    <row r="120">
      <c r="A120" s="835"/>
      <c r="B120" s="558"/>
    </row>
    <row r="121">
      <c r="A121" s="835"/>
      <c r="B121" s="558"/>
    </row>
    <row r="122">
      <c r="A122" s="835"/>
      <c r="B122" s="558"/>
    </row>
    <row r="123">
      <c r="A123" s="835"/>
      <c r="B123" s="558"/>
    </row>
    <row r="124">
      <c r="A124" s="835"/>
      <c r="B124" s="558"/>
    </row>
    <row r="125">
      <c r="A125" s="835"/>
      <c r="B125" s="558"/>
    </row>
    <row r="126">
      <c r="A126" s="835"/>
      <c r="B126" s="558"/>
    </row>
    <row r="127">
      <c r="A127" s="835"/>
      <c r="B127" s="558"/>
    </row>
    <row r="128">
      <c r="A128" s="835"/>
      <c r="B128" s="558"/>
    </row>
    <row r="129">
      <c r="A129" s="835"/>
      <c r="B129" s="558"/>
    </row>
    <row r="130">
      <c r="A130" s="835"/>
      <c r="B130" s="558"/>
    </row>
    <row r="131">
      <c r="A131" s="835"/>
      <c r="B131" s="558"/>
    </row>
    <row r="132">
      <c r="A132" s="835"/>
      <c r="B132" s="558"/>
    </row>
    <row r="133">
      <c r="A133" s="835"/>
      <c r="B133" s="558"/>
    </row>
    <row r="134">
      <c r="A134" s="835"/>
      <c r="B134" s="558"/>
    </row>
    <row r="135">
      <c r="A135" s="835"/>
      <c r="B135" s="558"/>
    </row>
    <row r="136">
      <c r="A136" s="835"/>
      <c r="B136" s="558"/>
    </row>
    <row r="137">
      <c r="A137" s="835"/>
      <c r="B137" s="558"/>
    </row>
    <row r="138">
      <c r="A138" s="835"/>
      <c r="B138" s="558"/>
    </row>
    <row r="139">
      <c r="A139" s="835"/>
      <c r="B139" s="558"/>
    </row>
    <row r="140">
      <c r="A140" s="835"/>
      <c r="B140" s="558"/>
    </row>
    <row r="141">
      <c r="A141" s="835"/>
      <c r="B141" s="558"/>
    </row>
    <row r="142">
      <c r="A142" s="835"/>
      <c r="B142" s="558"/>
    </row>
    <row r="143">
      <c r="A143" s="835"/>
      <c r="B143" s="558"/>
    </row>
    <row r="144">
      <c r="A144" s="835"/>
      <c r="B144" s="558"/>
    </row>
    <row r="145">
      <c r="A145" s="835"/>
      <c r="B145" s="558"/>
    </row>
    <row r="146">
      <c r="A146" s="835"/>
      <c r="B146" s="558"/>
    </row>
    <row r="147">
      <c r="A147" s="835"/>
      <c r="B147" s="558"/>
    </row>
    <row r="148">
      <c r="A148" s="835"/>
      <c r="B148" s="558"/>
    </row>
    <row r="149">
      <c r="A149" s="835"/>
      <c r="B149" s="558"/>
    </row>
    <row r="150">
      <c r="A150" s="835"/>
      <c r="B150" s="558"/>
    </row>
    <row r="151">
      <c r="A151" s="835"/>
      <c r="B151" s="558"/>
    </row>
    <row r="152">
      <c r="A152" s="835"/>
      <c r="B152" s="558"/>
    </row>
    <row r="153">
      <c r="A153" s="835"/>
      <c r="B153" s="558"/>
    </row>
    <row r="154">
      <c r="A154" s="835"/>
      <c r="B154" s="558"/>
    </row>
    <row r="155">
      <c r="A155" s="835"/>
      <c r="B155" s="558"/>
    </row>
    <row r="156">
      <c r="A156" s="835"/>
      <c r="B156" s="558"/>
    </row>
    <row r="157">
      <c r="A157" s="835"/>
      <c r="B157" s="558"/>
    </row>
    <row r="158">
      <c r="A158" s="835"/>
      <c r="B158" s="558"/>
    </row>
    <row r="159">
      <c r="A159" s="835"/>
      <c r="B159" s="558"/>
    </row>
    <row r="160">
      <c r="A160" s="835"/>
      <c r="B160" s="558"/>
    </row>
    <row r="161">
      <c r="A161" s="835"/>
      <c r="B161" s="558"/>
    </row>
    <row r="162">
      <c r="A162" s="835"/>
      <c r="B162" s="558"/>
    </row>
    <row r="163">
      <c r="A163" s="835"/>
      <c r="B163" s="558"/>
    </row>
    <row r="164">
      <c r="A164" s="835"/>
      <c r="B164" s="558"/>
    </row>
    <row r="165">
      <c r="A165" s="835"/>
      <c r="B165" s="558"/>
    </row>
    <row r="166">
      <c r="A166" s="835"/>
      <c r="B166" s="558"/>
    </row>
    <row r="167">
      <c r="A167" s="835"/>
      <c r="B167" s="558"/>
    </row>
    <row r="168">
      <c r="A168" s="835"/>
      <c r="B168" s="558"/>
    </row>
    <row r="169">
      <c r="A169" s="835"/>
      <c r="B169" s="558"/>
    </row>
    <row r="170">
      <c r="A170" s="835"/>
      <c r="B170" s="558"/>
    </row>
    <row r="171">
      <c r="A171" s="835"/>
      <c r="B171" s="558"/>
    </row>
    <row r="172">
      <c r="A172" s="835"/>
      <c r="B172" s="558"/>
    </row>
    <row r="173">
      <c r="A173" s="835"/>
      <c r="B173" s="558"/>
    </row>
    <row r="174">
      <c r="A174" s="835"/>
      <c r="B174" s="558"/>
    </row>
    <row r="175">
      <c r="A175" s="835"/>
      <c r="B175" s="558"/>
    </row>
    <row r="176">
      <c r="A176" s="835"/>
      <c r="B176" s="558"/>
    </row>
    <row r="177">
      <c r="A177" s="835"/>
      <c r="B177" s="558"/>
    </row>
    <row r="178">
      <c r="A178" s="835"/>
      <c r="B178" s="558"/>
    </row>
    <row r="179">
      <c r="A179" s="835"/>
      <c r="B179" s="558"/>
    </row>
    <row r="180">
      <c r="A180" s="835"/>
      <c r="B180" s="558"/>
    </row>
    <row r="181">
      <c r="A181" s="835"/>
      <c r="B181" s="558"/>
    </row>
    <row r="182">
      <c r="A182" s="835"/>
      <c r="B182" s="558"/>
    </row>
    <row r="183">
      <c r="A183" s="835"/>
      <c r="B183" s="558"/>
    </row>
    <row r="184">
      <c r="A184" s="835"/>
      <c r="B184" s="558"/>
    </row>
    <row r="185">
      <c r="A185" s="835"/>
      <c r="B185" s="558"/>
    </row>
    <row r="186">
      <c r="A186" s="835"/>
      <c r="B186" s="558"/>
    </row>
    <row r="187">
      <c r="A187" s="835"/>
      <c r="B187" s="558"/>
    </row>
    <row r="188">
      <c r="A188" s="835"/>
      <c r="B188" s="558"/>
    </row>
    <row r="189">
      <c r="A189" s="835"/>
      <c r="B189" s="558"/>
    </row>
    <row r="190">
      <c r="A190" s="835"/>
      <c r="B190" s="558"/>
    </row>
    <row r="191">
      <c r="A191" s="835"/>
      <c r="B191" s="558"/>
    </row>
    <row r="192">
      <c r="A192" s="835"/>
      <c r="B192" s="558"/>
    </row>
    <row r="193">
      <c r="A193" s="835"/>
      <c r="B193" s="558"/>
    </row>
    <row r="194">
      <c r="A194" s="835"/>
      <c r="B194" s="558"/>
    </row>
    <row r="195">
      <c r="A195" s="835"/>
      <c r="B195" s="558"/>
    </row>
    <row r="196">
      <c r="A196" s="835"/>
      <c r="B196" s="558"/>
    </row>
    <row r="197">
      <c r="A197" s="835"/>
      <c r="B197" s="558"/>
    </row>
    <row r="198">
      <c r="A198" s="835"/>
      <c r="B198" s="558"/>
    </row>
    <row r="199">
      <c r="A199" s="835"/>
      <c r="B199" s="558"/>
    </row>
    <row r="200">
      <c r="A200" s="835"/>
      <c r="B200" s="558"/>
    </row>
    <row r="201">
      <c r="A201" s="835"/>
      <c r="B201" s="558"/>
    </row>
    <row r="202">
      <c r="A202" s="835"/>
      <c r="B202" s="558"/>
    </row>
    <row r="203">
      <c r="A203" s="835"/>
      <c r="B203" s="558"/>
    </row>
    <row r="204">
      <c r="A204" s="835"/>
      <c r="B204" s="558"/>
    </row>
    <row r="205">
      <c r="A205" s="835"/>
      <c r="B205" s="558"/>
    </row>
    <row r="206">
      <c r="A206" s="835"/>
      <c r="B206" s="558"/>
    </row>
    <row r="207">
      <c r="A207" s="835"/>
      <c r="B207" s="558"/>
    </row>
    <row r="208">
      <c r="A208" s="835"/>
      <c r="B208" s="558"/>
    </row>
    <row r="209">
      <c r="A209" s="835"/>
      <c r="B209" s="558"/>
    </row>
    <row r="210">
      <c r="A210" s="835"/>
      <c r="B210" s="558"/>
    </row>
    <row r="211">
      <c r="A211" s="835"/>
      <c r="B211" s="558"/>
    </row>
    <row r="212">
      <c r="A212" s="835"/>
      <c r="B212" s="558"/>
    </row>
    <row r="213">
      <c r="A213" s="835"/>
      <c r="B213" s="558"/>
    </row>
    <row r="214">
      <c r="A214" s="835"/>
      <c r="B214" s="558"/>
    </row>
    <row r="215">
      <c r="A215" s="835"/>
      <c r="B215" s="558"/>
    </row>
    <row r="216">
      <c r="A216" s="835"/>
      <c r="B216" s="558"/>
    </row>
    <row r="217">
      <c r="A217" s="835"/>
      <c r="B217" s="558"/>
    </row>
    <row r="218">
      <c r="A218" s="835"/>
      <c r="B218" s="558"/>
    </row>
    <row r="219">
      <c r="A219" s="835"/>
      <c r="B219" s="558"/>
    </row>
    <row r="220">
      <c r="A220" s="835"/>
      <c r="B220" s="558"/>
    </row>
    <row r="221">
      <c r="A221" s="835"/>
      <c r="B221" s="558"/>
    </row>
    <row r="222">
      <c r="A222" s="835"/>
      <c r="B222" s="558"/>
    </row>
    <row r="223">
      <c r="A223" s="835"/>
      <c r="B223" s="558"/>
    </row>
    <row r="224">
      <c r="A224" s="835"/>
      <c r="B224" s="558"/>
    </row>
    <row r="225">
      <c r="A225" s="835"/>
      <c r="B225" s="558"/>
    </row>
    <row r="226">
      <c r="A226" s="835"/>
      <c r="B226" s="558"/>
    </row>
    <row r="227">
      <c r="A227" s="835"/>
      <c r="B227" s="558"/>
    </row>
    <row r="228">
      <c r="A228" s="835"/>
      <c r="B228" s="558"/>
    </row>
    <row r="229">
      <c r="A229" s="835"/>
      <c r="B229" s="558"/>
    </row>
    <row r="230">
      <c r="A230" s="835"/>
      <c r="B230" s="558"/>
    </row>
    <row r="231">
      <c r="A231" s="835"/>
      <c r="B231" s="558"/>
    </row>
    <row r="232">
      <c r="A232" s="835"/>
      <c r="B232" s="558"/>
    </row>
    <row r="233">
      <c r="A233" s="835"/>
      <c r="B233" s="558"/>
    </row>
    <row r="234">
      <c r="A234" s="835"/>
      <c r="B234" s="558"/>
    </row>
    <row r="235">
      <c r="A235" s="835"/>
      <c r="B235" s="558"/>
    </row>
    <row r="236">
      <c r="A236" s="835"/>
      <c r="B236" s="558"/>
    </row>
    <row r="237">
      <c r="A237" s="835"/>
      <c r="B237" s="558"/>
    </row>
    <row r="238">
      <c r="A238" s="835"/>
      <c r="B238" s="558"/>
    </row>
    <row r="239">
      <c r="A239" s="835"/>
      <c r="B239" s="558"/>
    </row>
    <row r="240">
      <c r="A240" s="835"/>
      <c r="B240" s="558"/>
    </row>
    <row r="241">
      <c r="A241" s="835"/>
      <c r="B241" s="558"/>
    </row>
    <row r="242">
      <c r="A242" s="835"/>
      <c r="B242" s="558"/>
    </row>
    <row r="243">
      <c r="A243" s="835"/>
      <c r="B243" s="558"/>
    </row>
    <row r="244">
      <c r="A244" s="835"/>
      <c r="B244" s="558"/>
    </row>
    <row r="245">
      <c r="A245" s="835"/>
      <c r="B245" s="558"/>
    </row>
    <row r="246">
      <c r="A246" s="835"/>
      <c r="B246" s="558"/>
    </row>
    <row r="247">
      <c r="A247" s="835"/>
      <c r="B247" s="558"/>
    </row>
    <row r="248">
      <c r="A248" s="835"/>
      <c r="B248" s="558"/>
    </row>
    <row r="249">
      <c r="A249" s="835"/>
      <c r="B249" s="558"/>
    </row>
    <row r="250">
      <c r="A250" s="835"/>
      <c r="B250" s="558"/>
    </row>
    <row r="251">
      <c r="A251" s="835"/>
      <c r="B251" s="558"/>
    </row>
    <row r="252">
      <c r="A252" s="835"/>
      <c r="B252" s="558"/>
    </row>
    <row r="253">
      <c r="A253" s="835"/>
      <c r="B253" s="558"/>
    </row>
    <row r="254">
      <c r="A254" s="835"/>
      <c r="B254" s="558"/>
    </row>
    <row r="255">
      <c r="A255" s="835"/>
      <c r="B255" s="558"/>
    </row>
    <row r="256">
      <c r="A256" s="835"/>
      <c r="B256" s="558"/>
    </row>
    <row r="257">
      <c r="A257" s="835"/>
      <c r="B257" s="558"/>
    </row>
    <row r="258">
      <c r="A258" s="835"/>
      <c r="B258" s="558"/>
    </row>
    <row r="259">
      <c r="A259" s="835"/>
      <c r="B259" s="558"/>
    </row>
    <row r="260">
      <c r="A260" s="835"/>
      <c r="B260" s="558"/>
    </row>
    <row r="261">
      <c r="A261" s="835"/>
      <c r="B261" s="558"/>
    </row>
    <row r="262">
      <c r="A262" s="835"/>
      <c r="B262" s="558"/>
    </row>
    <row r="263">
      <c r="A263" s="835"/>
      <c r="B263" s="558"/>
    </row>
    <row r="264">
      <c r="A264" s="835"/>
      <c r="B264" s="558"/>
    </row>
    <row r="265">
      <c r="A265" s="835"/>
      <c r="B265" s="558"/>
    </row>
    <row r="266">
      <c r="A266" s="835"/>
      <c r="B266" s="558"/>
    </row>
    <row r="267">
      <c r="A267" s="835"/>
      <c r="B267" s="558"/>
    </row>
    <row r="268">
      <c r="A268" s="835"/>
      <c r="B268" s="558"/>
    </row>
    <row r="269">
      <c r="A269" s="835"/>
      <c r="B269" s="558"/>
    </row>
    <row r="270">
      <c r="A270" s="835"/>
      <c r="B270" s="558"/>
    </row>
    <row r="271">
      <c r="A271" s="835"/>
      <c r="B271" s="558"/>
    </row>
    <row r="272">
      <c r="A272" s="835"/>
      <c r="B272" s="558"/>
    </row>
    <row r="273">
      <c r="A273" s="835"/>
      <c r="B273" s="558"/>
    </row>
    <row r="274">
      <c r="A274" s="835"/>
      <c r="B274" s="558"/>
    </row>
    <row r="275">
      <c r="A275" s="835"/>
      <c r="B275" s="558"/>
    </row>
    <row r="276">
      <c r="A276" s="835"/>
      <c r="B276" s="558"/>
    </row>
    <row r="277">
      <c r="A277" s="835"/>
      <c r="B277" s="558"/>
    </row>
    <row r="278">
      <c r="A278" s="835"/>
      <c r="B278" s="558"/>
    </row>
    <row r="279">
      <c r="A279" s="835"/>
      <c r="B279" s="558"/>
    </row>
    <row r="280">
      <c r="A280" s="835"/>
      <c r="B280" s="558"/>
    </row>
    <row r="281">
      <c r="A281" s="835"/>
      <c r="B281" s="558"/>
    </row>
    <row r="282">
      <c r="A282" s="835"/>
      <c r="B282" s="558"/>
    </row>
    <row r="283">
      <c r="A283" s="835"/>
      <c r="B283" s="558"/>
    </row>
    <row r="284">
      <c r="A284" s="835"/>
      <c r="B284" s="558"/>
    </row>
    <row r="285">
      <c r="A285" s="835"/>
      <c r="B285" s="558"/>
    </row>
    <row r="286">
      <c r="A286" s="835"/>
      <c r="B286" s="558"/>
    </row>
    <row r="287">
      <c r="A287" s="835"/>
      <c r="B287" s="558"/>
    </row>
    <row r="288">
      <c r="A288" s="835"/>
      <c r="B288" s="558"/>
    </row>
    <row r="289">
      <c r="A289" s="835"/>
      <c r="B289" s="558"/>
    </row>
    <row r="290">
      <c r="A290" s="835"/>
      <c r="B290" s="558"/>
    </row>
    <row r="291">
      <c r="A291" s="835"/>
      <c r="B291" s="558"/>
    </row>
    <row r="292">
      <c r="A292" s="835"/>
      <c r="B292" s="558"/>
    </row>
    <row r="293">
      <c r="A293" s="835"/>
      <c r="B293" s="558"/>
    </row>
    <row r="294">
      <c r="A294" s="835"/>
      <c r="B294" s="558"/>
    </row>
    <row r="295">
      <c r="A295" s="835"/>
      <c r="B295" s="558"/>
    </row>
    <row r="296">
      <c r="A296" s="835"/>
      <c r="B296" s="558"/>
    </row>
    <row r="297">
      <c r="A297" s="835"/>
      <c r="B297" s="558"/>
    </row>
    <row r="298">
      <c r="A298" s="835"/>
      <c r="B298" s="558"/>
    </row>
    <row r="299">
      <c r="A299" s="835"/>
      <c r="B299" s="558"/>
    </row>
    <row r="300">
      <c r="A300" s="835"/>
      <c r="B300" s="558"/>
    </row>
    <row r="301">
      <c r="A301" s="835"/>
      <c r="B301" s="558"/>
    </row>
    <row r="302">
      <c r="A302" s="835"/>
      <c r="B302" s="558"/>
    </row>
    <row r="303">
      <c r="A303" s="835"/>
      <c r="B303" s="558"/>
    </row>
    <row r="304">
      <c r="A304" s="835"/>
      <c r="B304" s="558"/>
    </row>
    <row r="305">
      <c r="A305" s="835"/>
      <c r="B305" s="558"/>
    </row>
    <row r="306">
      <c r="A306" s="835"/>
      <c r="B306" s="558"/>
    </row>
    <row r="307">
      <c r="A307" s="835"/>
      <c r="B307" s="558"/>
    </row>
    <row r="308">
      <c r="A308" s="835"/>
      <c r="B308" s="558"/>
    </row>
    <row r="309">
      <c r="A309" s="835"/>
      <c r="B309" s="558"/>
    </row>
    <row r="310">
      <c r="A310" s="835"/>
      <c r="B310" s="558"/>
    </row>
    <row r="311">
      <c r="A311" s="835"/>
      <c r="B311" s="558"/>
    </row>
    <row r="312">
      <c r="A312" s="835"/>
      <c r="B312" s="558"/>
    </row>
    <row r="313">
      <c r="A313" s="835"/>
      <c r="B313" s="558"/>
    </row>
    <row r="314">
      <c r="A314" s="835"/>
      <c r="B314" s="558"/>
    </row>
    <row r="315">
      <c r="A315" s="835"/>
      <c r="B315" s="558"/>
    </row>
    <row r="316">
      <c r="A316" s="835"/>
      <c r="B316" s="558"/>
    </row>
    <row r="317">
      <c r="A317" s="835"/>
      <c r="B317" s="558"/>
    </row>
    <row r="318">
      <c r="A318" s="835"/>
      <c r="B318" s="558"/>
    </row>
    <row r="319">
      <c r="A319" s="835"/>
      <c r="B319" s="558"/>
    </row>
    <row r="320">
      <c r="A320" s="835"/>
      <c r="B320" s="558"/>
    </row>
    <row r="321">
      <c r="A321" s="835"/>
      <c r="B321" s="558"/>
    </row>
    <row r="322">
      <c r="A322" s="835"/>
      <c r="B322" s="558"/>
    </row>
    <row r="323">
      <c r="A323" s="835"/>
      <c r="B323" s="558"/>
    </row>
    <row r="324">
      <c r="A324" s="835"/>
      <c r="B324" s="558"/>
    </row>
    <row r="325">
      <c r="A325" s="835"/>
      <c r="B325" s="558"/>
    </row>
    <row r="326">
      <c r="A326" s="835"/>
      <c r="B326" s="558"/>
    </row>
    <row r="327">
      <c r="A327" s="835"/>
      <c r="B327" s="558"/>
    </row>
    <row r="328">
      <c r="A328" s="835"/>
      <c r="B328" s="558"/>
    </row>
    <row r="329">
      <c r="A329" s="835"/>
      <c r="B329" s="558"/>
    </row>
    <row r="330">
      <c r="A330" s="835"/>
      <c r="B330" s="558"/>
    </row>
    <row r="331">
      <c r="A331" s="835"/>
      <c r="B331" s="558"/>
    </row>
    <row r="332">
      <c r="A332" s="835"/>
      <c r="B332" s="558"/>
    </row>
    <row r="333">
      <c r="A333" s="835"/>
      <c r="B333" s="558"/>
    </row>
    <row r="334">
      <c r="A334" s="835"/>
      <c r="B334" s="558"/>
    </row>
    <row r="335">
      <c r="A335" s="835"/>
      <c r="B335" s="558"/>
    </row>
    <row r="336">
      <c r="A336" s="835"/>
      <c r="B336" s="558"/>
    </row>
    <row r="337">
      <c r="A337" s="835"/>
      <c r="B337" s="558"/>
    </row>
    <row r="338">
      <c r="A338" s="835"/>
      <c r="B338" s="558"/>
    </row>
    <row r="339">
      <c r="A339" s="835"/>
      <c r="B339" s="558"/>
    </row>
    <row r="340">
      <c r="A340" s="835"/>
      <c r="B340" s="558"/>
    </row>
    <row r="341">
      <c r="A341" s="835"/>
      <c r="B341" s="558"/>
    </row>
    <row r="342">
      <c r="A342" s="835"/>
      <c r="B342" s="558"/>
    </row>
    <row r="343">
      <c r="A343" s="835"/>
      <c r="B343" s="558"/>
    </row>
    <row r="344">
      <c r="A344" s="835"/>
      <c r="B344" s="558"/>
    </row>
    <row r="345">
      <c r="A345" s="835"/>
      <c r="B345" s="558"/>
    </row>
    <row r="346">
      <c r="A346" s="835"/>
      <c r="B346" s="558"/>
    </row>
    <row r="347">
      <c r="A347" s="835"/>
      <c r="B347" s="558"/>
    </row>
    <row r="348">
      <c r="A348" s="835"/>
      <c r="B348" s="558"/>
    </row>
    <row r="349">
      <c r="A349" s="835"/>
      <c r="B349" s="558"/>
    </row>
    <row r="350">
      <c r="A350" s="835"/>
      <c r="B350" s="558"/>
    </row>
    <row r="351">
      <c r="A351" s="835"/>
      <c r="B351" s="558"/>
    </row>
    <row r="352">
      <c r="A352" s="835"/>
      <c r="B352" s="558"/>
    </row>
    <row r="353">
      <c r="A353" s="835"/>
      <c r="B353" s="558"/>
    </row>
    <row r="354">
      <c r="A354" s="835"/>
      <c r="B354" s="558"/>
    </row>
    <row r="355">
      <c r="A355" s="835"/>
      <c r="B355" s="558"/>
    </row>
    <row r="356">
      <c r="A356" s="835"/>
      <c r="B356" s="558"/>
    </row>
    <row r="357">
      <c r="A357" s="835"/>
      <c r="B357" s="558"/>
    </row>
    <row r="358">
      <c r="A358" s="835"/>
      <c r="B358" s="558"/>
    </row>
    <row r="359">
      <c r="A359" s="835"/>
      <c r="B359" s="558"/>
    </row>
    <row r="360">
      <c r="A360" s="835"/>
      <c r="B360" s="558"/>
    </row>
    <row r="361">
      <c r="A361" s="835"/>
      <c r="B361" s="558"/>
    </row>
    <row r="362">
      <c r="A362" s="835"/>
      <c r="B362" s="558"/>
    </row>
    <row r="363">
      <c r="A363" s="835"/>
      <c r="B363" s="558"/>
    </row>
    <row r="364">
      <c r="A364" s="835"/>
      <c r="B364" s="558"/>
    </row>
    <row r="365">
      <c r="A365" s="835"/>
      <c r="B365" s="558"/>
    </row>
    <row r="366">
      <c r="A366" s="835"/>
      <c r="B366" s="558"/>
    </row>
    <row r="367">
      <c r="A367" s="835"/>
      <c r="B367" s="558"/>
    </row>
    <row r="368">
      <c r="A368" s="835"/>
      <c r="B368" s="558"/>
    </row>
    <row r="369">
      <c r="A369" s="835"/>
      <c r="B369" s="558"/>
    </row>
    <row r="370">
      <c r="A370" s="835"/>
      <c r="B370" s="558"/>
    </row>
    <row r="371">
      <c r="A371" s="835"/>
      <c r="B371" s="558"/>
    </row>
    <row r="372">
      <c r="A372" s="835"/>
      <c r="B372" s="558"/>
    </row>
    <row r="373">
      <c r="A373" s="835"/>
      <c r="B373" s="558"/>
    </row>
    <row r="374">
      <c r="A374" s="835"/>
      <c r="B374" s="558"/>
    </row>
    <row r="375">
      <c r="A375" s="835"/>
      <c r="B375" s="558"/>
    </row>
    <row r="376">
      <c r="A376" s="835"/>
      <c r="B376" s="558"/>
    </row>
    <row r="377">
      <c r="A377" s="835"/>
      <c r="B377" s="558"/>
    </row>
    <row r="378">
      <c r="A378" s="835"/>
      <c r="B378" s="558"/>
    </row>
    <row r="379">
      <c r="A379" s="835"/>
      <c r="B379" s="558"/>
    </row>
    <row r="380">
      <c r="A380" s="835"/>
      <c r="B380" s="558"/>
    </row>
    <row r="381">
      <c r="A381" s="835"/>
      <c r="B381" s="558"/>
    </row>
    <row r="382">
      <c r="A382" s="835"/>
      <c r="B382" s="558"/>
    </row>
    <row r="383">
      <c r="A383" s="835"/>
      <c r="B383" s="558"/>
    </row>
    <row r="384">
      <c r="A384" s="835"/>
      <c r="B384" s="558"/>
    </row>
    <row r="385">
      <c r="A385" s="835"/>
      <c r="B385" s="558"/>
    </row>
    <row r="386">
      <c r="A386" s="835"/>
      <c r="B386" s="558"/>
    </row>
    <row r="387">
      <c r="A387" s="835"/>
      <c r="B387" s="558"/>
    </row>
    <row r="388">
      <c r="A388" s="835"/>
      <c r="B388" s="558"/>
    </row>
    <row r="389">
      <c r="A389" s="835"/>
      <c r="B389" s="558"/>
    </row>
    <row r="390">
      <c r="A390" s="835"/>
      <c r="B390" s="558"/>
    </row>
    <row r="391">
      <c r="A391" s="835"/>
      <c r="B391" s="558"/>
    </row>
    <row r="392">
      <c r="A392" s="835"/>
      <c r="B392" s="558"/>
    </row>
    <row r="393">
      <c r="A393" s="835"/>
      <c r="B393" s="558"/>
    </row>
    <row r="394">
      <c r="A394" s="835"/>
      <c r="B394" s="558"/>
    </row>
    <row r="395">
      <c r="A395" s="835"/>
      <c r="B395" s="558"/>
    </row>
    <row r="396">
      <c r="A396" s="835"/>
      <c r="B396" s="558"/>
    </row>
    <row r="397">
      <c r="A397" s="835"/>
      <c r="B397" s="558"/>
    </row>
    <row r="398">
      <c r="A398" s="835"/>
      <c r="B398" s="558"/>
    </row>
    <row r="399">
      <c r="A399" s="835"/>
      <c r="B399" s="558"/>
    </row>
    <row r="400">
      <c r="A400" s="835"/>
      <c r="B400" s="558"/>
    </row>
    <row r="401">
      <c r="A401" s="835"/>
      <c r="B401" s="558"/>
    </row>
    <row r="402">
      <c r="A402" s="835"/>
      <c r="B402" s="558"/>
    </row>
    <row r="403">
      <c r="A403" s="835"/>
      <c r="B403" s="558"/>
    </row>
    <row r="404">
      <c r="A404" s="835"/>
      <c r="B404" s="558"/>
    </row>
    <row r="405">
      <c r="A405" s="835"/>
      <c r="B405" s="558"/>
    </row>
    <row r="406">
      <c r="A406" s="835"/>
      <c r="B406" s="558"/>
    </row>
    <row r="407">
      <c r="A407" s="835"/>
      <c r="B407" s="558"/>
    </row>
    <row r="408">
      <c r="A408" s="835"/>
      <c r="B408" s="558"/>
    </row>
    <row r="409">
      <c r="A409" s="835"/>
      <c r="B409" s="558"/>
    </row>
    <row r="410">
      <c r="A410" s="835"/>
      <c r="B410" s="558"/>
    </row>
    <row r="411">
      <c r="A411" s="835"/>
      <c r="B411" s="558"/>
    </row>
    <row r="412">
      <c r="A412" s="835"/>
      <c r="B412" s="558"/>
    </row>
    <row r="413">
      <c r="A413" s="835"/>
      <c r="B413" s="558"/>
    </row>
    <row r="414">
      <c r="A414" s="835"/>
      <c r="B414" s="558"/>
    </row>
    <row r="415">
      <c r="A415" s="835"/>
      <c r="B415" s="558"/>
    </row>
    <row r="416">
      <c r="A416" s="835"/>
      <c r="B416" s="558"/>
    </row>
    <row r="417">
      <c r="A417" s="835"/>
      <c r="B417" s="558"/>
    </row>
    <row r="418">
      <c r="A418" s="835"/>
      <c r="B418" s="558"/>
    </row>
    <row r="419">
      <c r="A419" s="835"/>
      <c r="B419" s="558"/>
    </row>
    <row r="420">
      <c r="A420" s="835"/>
      <c r="B420" s="558"/>
    </row>
    <row r="421">
      <c r="A421" s="835"/>
      <c r="B421" s="558"/>
    </row>
    <row r="422">
      <c r="A422" s="835"/>
      <c r="B422" s="558"/>
    </row>
    <row r="423">
      <c r="A423" s="835"/>
      <c r="B423" s="558"/>
    </row>
    <row r="424">
      <c r="A424" s="835"/>
      <c r="B424" s="558"/>
    </row>
    <row r="425">
      <c r="A425" s="835"/>
      <c r="B425" s="558"/>
    </row>
    <row r="426">
      <c r="A426" s="835"/>
      <c r="B426" s="558"/>
    </row>
    <row r="427">
      <c r="A427" s="835"/>
      <c r="B427" s="558"/>
    </row>
    <row r="428">
      <c r="A428" s="835"/>
      <c r="B428" s="558"/>
    </row>
    <row r="429">
      <c r="A429" s="835"/>
      <c r="B429" s="558"/>
    </row>
    <row r="430">
      <c r="A430" s="835"/>
      <c r="B430" s="558"/>
    </row>
    <row r="431">
      <c r="A431" s="835"/>
      <c r="B431" s="558"/>
    </row>
    <row r="432">
      <c r="A432" s="835"/>
      <c r="B432" s="558"/>
    </row>
    <row r="433">
      <c r="A433" s="835"/>
      <c r="B433" s="558"/>
    </row>
    <row r="434">
      <c r="A434" s="835"/>
      <c r="B434" s="558"/>
    </row>
    <row r="435">
      <c r="A435" s="835"/>
      <c r="B435" s="558"/>
    </row>
    <row r="436">
      <c r="A436" s="835"/>
      <c r="B436" s="558"/>
    </row>
    <row r="437">
      <c r="A437" s="835"/>
      <c r="B437" s="558"/>
    </row>
    <row r="438">
      <c r="A438" s="835"/>
      <c r="B438" s="558"/>
    </row>
    <row r="439">
      <c r="A439" s="835"/>
      <c r="B439" s="558"/>
    </row>
    <row r="440">
      <c r="A440" s="835"/>
      <c r="B440" s="558"/>
    </row>
    <row r="441">
      <c r="A441" s="835"/>
      <c r="B441" s="558"/>
    </row>
    <row r="442">
      <c r="A442" s="835"/>
      <c r="B442" s="558"/>
    </row>
    <row r="443">
      <c r="A443" s="835"/>
      <c r="B443" s="558"/>
    </row>
    <row r="444">
      <c r="A444" s="835"/>
      <c r="B444" s="558"/>
    </row>
    <row r="445">
      <c r="A445" s="835"/>
      <c r="B445" s="558"/>
    </row>
    <row r="446">
      <c r="A446" s="835"/>
      <c r="B446" s="558"/>
    </row>
    <row r="447">
      <c r="A447" s="835"/>
      <c r="B447" s="558"/>
    </row>
    <row r="448">
      <c r="A448" s="835"/>
      <c r="B448" s="558"/>
    </row>
    <row r="449">
      <c r="A449" s="835"/>
      <c r="B449" s="558"/>
    </row>
    <row r="450">
      <c r="A450" s="835"/>
      <c r="B450" s="558"/>
    </row>
    <row r="451">
      <c r="A451" s="835"/>
      <c r="B451" s="558"/>
    </row>
    <row r="452">
      <c r="A452" s="835"/>
      <c r="B452" s="558"/>
    </row>
    <row r="453">
      <c r="A453" s="835"/>
      <c r="B453" s="558"/>
    </row>
    <row r="454">
      <c r="A454" s="835"/>
      <c r="B454" s="558"/>
    </row>
    <row r="455">
      <c r="A455" s="835"/>
      <c r="B455" s="558"/>
    </row>
    <row r="456">
      <c r="A456" s="835"/>
      <c r="B456" s="558"/>
    </row>
    <row r="457">
      <c r="A457" s="835"/>
      <c r="B457" s="558"/>
    </row>
    <row r="458">
      <c r="A458" s="835"/>
      <c r="B458" s="558"/>
    </row>
    <row r="459">
      <c r="A459" s="835"/>
      <c r="B459" s="558"/>
    </row>
    <row r="460">
      <c r="A460" s="835"/>
      <c r="B460" s="558"/>
    </row>
    <row r="461">
      <c r="A461" s="835"/>
      <c r="B461" s="558"/>
    </row>
    <row r="462">
      <c r="A462" s="835"/>
      <c r="B462" s="558"/>
    </row>
    <row r="463">
      <c r="A463" s="835"/>
      <c r="B463" s="558"/>
    </row>
    <row r="464">
      <c r="A464" s="835"/>
      <c r="B464" s="558"/>
    </row>
    <row r="465">
      <c r="A465" s="835"/>
      <c r="B465" s="558"/>
    </row>
    <row r="466">
      <c r="A466" s="835"/>
      <c r="B466" s="558"/>
    </row>
    <row r="467">
      <c r="A467" s="835"/>
      <c r="B467" s="558"/>
    </row>
    <row r="468">
      <c r="A468" s="835"/>
      <c r="B468" s="558"/>
    </row>
    <row r="469">
      <c r="A469" s="835"/>
      <c r="B469" s="558"/>
    </row>
    <row r="470">
      <c r="A470" s="835"/>
      <c r="B470" s="558"/>
    </row>
    <row r="471">
      <c r="A471" s="835"/>
      <c r="B471" s="558"/>
    </row>
    <row r="472">
      <c r="A472" s="835"/>
      <c r="B472" s="558"/>
    </row>
    <row r="473">
      <c r="A473" s="835"/>
      <c r="B473" s="558"/>
    </row>
    <row r="474">
      <c r="A474" s="835"/>
      <c r="B474" s="558"/>
    </row>
    <row r="475">
      <c r="A475" s="835"/>
      <c r="B475" s="558"/>
    </row>
    <row r="476">
      <c r="A476" s="835"/>
      <c r="B476" s="558"/>
    </row>
    <row r="477">
      <c r="A477" s="835"/>
      <c r="B477" s="558"/>
    </row>
    <row r="478">
      <c r="A478" s="835"/>
      <c r="B478" s="558"/>
    </row>
    <row r="479">
      <c r="A479" s="835"/>
      <c r="B479" s="558"/>
    </row>
    <row r="480">
      <c r="A480" s="835"/>
      <c r="B480" s="558"/>
    </row>
    <row r="481">
      <c r="A481" s="835"/>
      <c r="B481" s="558"/>
    </row>
    <row r="482">
      <c r="A482" s="835"/>
      <c r="B482" s="558"/>
    </row>
    <row r="483">
      <c r="A483" s="835"/>
      <c r="B483" s="558"/>
    </row>
    <row r="484">
      <c r="A484" s="835"/>
      <c r="B484" s="558"/>
    </row>
    <row r="485">
      <c r="A485" s="835"/>
      <c r="B485" s="558"/>
    </row>
    <row r="486">
      <c r="A486" s="835"/>
      <c r="B486" s="558"/>
    </row>
    <row r="487">
      <c r="A487" s="835"/>
      <c r="B487" s="558"/>
    </row>
    <row r="488">
      <c r="A488" s="835"/>
      <c r="B488" s="558"/>
    </row>
    <row r="489">
      <c r="A489" s="835"/>
      <c r="B489" s="558"/>
    </row>
    <row r="490">
      <c r="A490" s="835"/>
      <c r="B490" s="558"/>
    </row>
    <row r="491">
      <c r="A491" s="835"/>
      <c r="B491" s="558"/>
    </row>
    <row r="492">
      <c r="A492" s="835"/>
      <c r="B492" s="558"/>
    </row>
    <row r="493">
      <c r="A493" s="835"/>
      <c r="B493" s="558"/>
    </row>
    <row r="494">
      <c r="A494" s="835"/>
      <c r="B494" s="558"/>
    </row>
    <row r="495">
      <c r="A495" s="835"/>
      <c r="B495" s="558"/>
    </row>
    <row r="496">
      <c r="A496" s="835"/>
      <c r="B496" s="558"/>
    </row>
    <row r="497">
      <c r="A497" s="835"/>
      <c r="B497" s="558"/>
    </row>
    <row r="498">
      <c r="A498" s="835"/>
      <c r="B498" s="558"/>
    </row>
    <row r="499">
      <c r="A499" s="835"/>
      <c r="B499" s="558"/>
    </row>
    <row r="500">
      <c r="A500" s="835"/>
      <c r="B500" s="558"/>
    </row>
    <row r="501">
      <c r="A501" s="835"/>
      <c r="B501" s="558"/>
    </row>
    <row r="502">
      <c r="A502" s="835"/>
      <c r="B502" s="558"/>
    </row>
    <row r="503">
      <c r="A503" s="835"/>
      <c r="B503" s="558"/>
    </row>
    <row r="504">
      <c r="A504" s="835"/>
      <c r="B504" s="558"/>
    </row>
    <row r="505">
      <c r="A505" s="835"/>
      <c r="B505" s="558"/>
    </row>
    <row r="506">
      <c r="A506" s="835"/>
      <c r="B506" s="558"/>
    </row>
    <row r="507">
      <c r="A507" s="835"/>
      <c r="B507" s="558"/>
    </row>
    <row r="508">
      <c r="A508" s="835"/>
      <c r="B508" s="558"/>
    </row>
    <row r="509">
      <c r="A509" s="835"/>
      <c r="B509" s="558"/>
    </row>
    <row r="510">
      <c r="A510" s="835"/>
      <c r="B510" s="558"/>
    </row>
    <row r="511">
      <c r="A511" s="835"/>
      <c r="B511" s="558"/>
    </row>
    <row r="512">
      <c r="A512" s="835"/>
      <c r="B512" s="558"/>
    </row>
    <row r="513">
      <c r="A513" s="835"/>
      <c r="B513" s="558"/>
    </row>
    <row r="514">
      <c r="A514" s="835"/>
      <c r="B514" s="558"/>
    </row>
    <row r="515">
      <c r="A515" s="835"/>
      <c r="B515" s="558"/>
    </row>
    <row r="516">
      <c r="A516" s="835"/>
      <c r="B516" s="558"/>
    </row>
    <row r="517">
      <c r="A517" s="835"/>
      <c r="B517" s="558"/>
    </row>
    <row r="518">
      <c r="A518" s="835"/>
      <c r="B518" s="558"/>
    </row>
    <row r="519">
      <c r="A519" s="835"/>
      <c r="B519" s="558"/>
    </row>
    <row r="520">
      <c r="A520" s="835"/>
      <c r="B520" s="558"/>
    </row>
    <row r="521">
      <c r="A521" s="835"/>
      <c r="B521" s="558"/>
    </row>
    <row r="522">
      <c r="A522" s="835"/>
      <c r="B522" s="558"/>
    </row>
    <row r="523">
      <c r="A523" s="835"/>
      <c r="B523" s="558"/>
    </row>
    <row r="524">
      <c r="A524" s="835"/>
      <c r="B524" s="558"/>
    </row>
    <row r="525">
      <c r="A525" s="835"/>
      <c r="B525" s="558"/>
    </row>
    <row r="526">
      <c r="A526" s="835"/>
      <c r="B526" s="558"/>
    </row>
    <row r="527">
      <c r="A527" s="835"/>
      <c r="B527" s="558"/>
    </row>
    <row r="528">
      <c r="A528" s="835"/>
      <c r="B528" s="558"/>
    </row>
    <row r="529">
      <c r="A529" s="835"/>
      <c r="B529" s="558"/>
    </row>
    <row r="530">
      <c r="A530" s="835"/>
      <c r="B530" s="558"/>
    </row>
    <row r="531">
      <c r="A531" s="835"/>
      <c r="B531" s="558"/>
    </row>
    <row r="532">
      <c r="A532" s="835"/>
      <c r="B532" s="558"/>
    </row>
    <row r="533">
      <c r="A533" s="835"/>
      <c r="B533" s="558"/>
    </row>
    <row r="534">
      <c r="A534" s="835"/>
      <c r="B534" s="558"/>
    </row>
    <row r="535">
      <c r="A535" s="835"/>
      <c r="B535" s="558"/>
    </row>
    <row r="536">
      <c r="A536" s="835"/>
      <c r="B536" s="558"/>
    </row>
    <row r="537">
      <c r="A537" s="835"/>
      <c r="B537" s="558"/>
    </row>
    <row r="538">
      <c r="A538" s="835"/>
      <c r="B538" s="558"/>
    </row>
    <row r="539">
      <c r="A539" s="835"/>
      <c r="B539" s="558"/>
    </row>
    <row r="540">
      <c r="A540" s="835"/>
      <c r="B540" s="558"/>
    </row>
    <row r="541">
      <c r="A541" s="835"/>
      <c r="B541" s="558"/>
    </row>
    <row r="542">
      <c r="A542" s="835"/>
      <c r="B542" s="558"/>
    </row>
    <row r="543">
      <c r="A543" s="835"/>
      <c r="B543" s="558"/>
    </row>
    <row r="544">
      <c r="A544" s="835"/>
      <c r="B544" s="558"/>
    </row>
    <row r="545">
      <c r="A545" s="835"/>
      <c r="B545" s="558"/>
    </row>
    <row r="546">
      <c r="A546" s="835"/>
      <c r="B546" s="558"/>
    </row>
    <row r="547">
      <c r="A547" s="835"/>
      <c r="B547" s="558"/>
    </row>
    <row r="548">
      <c r="A548" s="835"/>
      <c r="B548" s="558"/>
    </row>
    <row r="549">
      <c r="A549" s="835"/>
      <c r="B549" s="558"/>
    </row>
    <row r="550">
      <c r="A550" s="835"/>
      <c r="B550" s="558"/>
    </row>
    <row r="551">
      <c r="A551" s="835"/>
      <c r="B551" s="558"/>
    </row>
    <row r="552">
      <c r="A552" s="835"/>
      <c r="B552" s="558"/>
    </row>
    <row r="553">
      <c r="A553" s="835"/>
      <c r="B553" s="558"/>
    </row>
    <row r="554">
      <c r="A554" s="835"/>
      <c r="B554" s="558"/>
    </row>
    <row r="555">
      <c r="A555" s="835"/>
      <c r="B555" s="558"/>
    </row>
    <row r="556">
      <c r="A556" s="835"/>
      <c r="B556" s="558"/>
    </row>
    <row r="557">
      <c r="A557" s="835"/>
      <c r="B557" s="558"/>
    </row>
    <row r="558">
      <c r="A558" s="835"/>
      <c r="B558" s="558"/>
    </row>
    <row r="559">
      <c r="A559" s="835"/>
      <c r="B559" s="558"/>
    </row>
    <row r="560">
      <c r="A560" s="835"/>
      <c r="B560" s="558"/>
    </row>
    <row r="561">
      <c r="A561" s="835"/>
      <c r="B561" s="558"/>
    </row>
    <row r="562">
      <c r="A562" s="835"/>
      <c r="B562" s="558"/>
    </row>
    <row r="563">
      <c r="A563" s="835"/>
      <c r="B563" s="558"/>
    </row>
    <row r="564">
      <c r="A564" s="835"/>
      <c r="B564" s="558"/>
    </row>
    <row r="565">
      <c r="A565" s="835"/>
      <c r="B565" s="558"/>
    </row>
    <row r="566">
      <c r="A566" s="835"/>
      <c r="B566" s="558"/>
    </row>
    <row r="567">
      <c r="A567" s="835"/>
      <c r="B567" s="558"/>
    </row>
    <row r="568">
      <c r="A568" s="835"/>
      <c r="B568" s="558"/>
    </row>
    <row r="569">
      <c r="A569" s="835"/>
      <c r="B569" s="558"/>
    </row>
    <row r="570">
      <c r="A570" s="835"/>
      <c r="B570" s="558"/>
    </row>
    <row r="571">
      <c r="A571" s="835"/>
      <c r="B571" s="558"/>
    </row>
    <row r="572">
      <c r="A572" s="835"/>
      <c r="B572" s="558"/>
    </row>
    <row r="573">
      <c r="A573" s="835"/>
      <c r="B573" s="558"/>
    </row>
    <row r="574">
      <c r="A574" s="835"/>
      <c r="B574" s="558"/>
    </row>
    <row r="575">
      <c r="A575" s="835"/>
      <c r="B575" s="558"/>
    </row>
    <row r="576">
      <c r="A576" s="835"/>
      <c r="B576" s="558"/>
    </row>
    <row r="577">
      <c r="A577" s="835"/>
      <c r="B577" s="558"/>
    </row>
    <row r="578">
      <c r="A578" s="835"/>
      <c r="B578" s="558"/>
    </row>
    <row r="579">
      <c r="A579" s="835"/>
      <c r="B579" s="558"/>
    </row>
    <row r="580">
      <c r="A580" s="835"/>
      <c r="B580" s="558"/>
    </row>
    <row r="581">
      <c r="A581" s="835"/>
      <c r="B581" s="558"/>
    </row>
    <row r="582">
      <c r="A582" s="835"/>
      <c r="B582" s="558"/>
    </row>
    <row r="583">
      <c r="A583" s="835"/>
      <c r="B583" s="558"/>
    </row>
    <row r="584">
      <c r="A584" s="835"/>
      <c r="B584" s="558"/>
    </row>
    <row r="585">
      <c r="A585" s="835"/>
      <c r="B585" s="558"/>
    </row>
    <row r="586">
      <c r="A586" s="835"/>
      <c r="B586" s="558"/>
    </row>
    <row r="587">
      <c r="A587" s="835"/>
      <c r="B587" s="558"/>
    </row>
    <row r="588">
      <c r="A588" s="835"/>
      <c r="B588" s="558"/>
    </row>
    <row r="589">
      <c r="A589" s="835"/>
      <c r="B589" s="558"/>
    </row>
    <row r="590">
      <c r="A590" s="835"/>
      <c r="B590" s="558"/>
    </row>
    <row r="591">
      <c r="A591" s="835"/>
      <c r="B591" s="558"/>
    </row>
    <row r="592">
      <c r="A592" s="835"/>
      <c r="B592" s="558"/>
    </row>
    <row r="593">
      <c r="A593" s="835"/>
      <c r="B593" s="558"/>
    </row>
    <row r="594">
      <c r="A594" s="835"/>
      <c r="B594" s="558"/>
    </row>
    <row r="595">
      <c r="A595" s="835"/>
      <c r="B595" s="558"/>
    </row>
    <row r="596">
      <c r="A596" s="835"/>
      <c r="B596" s="558"/>
    </row>
    <row r="597">
      <c r="A597" s="835"/>
      <c r="B597" s="558"/>
    </row>
    <row r="598">
      <c r="A598" s="835"/>
      <c r="B598" s="558"/>
    </row>
    <row r="599">
      <c r="A599" s="835"/>
      <c r="B599" s="558"/>
    </row>
    <row r="600">
      <c r="A600" s="835"/>
      <c r="B600" s="558"/>
    </row>
    <row r="601">
      <c r="A601" s="835"/>
      <c r="B601" s="558"/>
    </row>
    <row r="602">
      <c r="A602" s="835"/>
      <c r="B602" s="558"/>
    </row>
    <row r="603">
      <c r="A603" s="835"/>
      <c r="B603" s="558"/>
    </row>
    <row r="604">
      <c r="A604" s="835"/>
      <c r="B604" s="558"/>
    </row>
    <row r="605">
      <c r="A605" s="835"/>
      <c r="B605" s="558"/>
    </row>
    <row r="606">
      <c r="A606" s="835"/>
      <c r="B606" s="558"/>
    </row>
    <row r="607">
      <c r="A607" s="835"/>
      <c r="B607" s="558"/>
    </row>
    <row r="608">
      <c r="A608" s="835"/>
      <c r="B608" s="558"/>
    </row>
    <row r="609">
      <c r="A609" s="835"/>
      <c r="B609" s="558"/>
    </row>
    <row r="610">
      <c r="A610" s="835"/>
      <c r="B610" s="558"/>
    </row>
    <row r="611">
      <c r="A611" s="835"/>
      <c r="B611" s="558"/>
    </row>
    <row r="612">
      <c r="A612" s="835"/>
      <c r="B612" s="558"/>
    </row>
    <row r="613">
      <c r="A613" s="835"/>
      <c r="B613" s="558"/>
    </row>
    <row r="614">
      <c r="A614" s="835"/>
      <c r="B614" s="558"/>
    </row>
    <row r="615">
      <c r="A615" s="835"/>
      <c r="B615" s="558"/>
    </row>
    <row r="616">
      <c r="A616" s="835"/>
      <c r="B616" s="558"/>
    </row>
    <row r="617">
      <c r="A617" s="835"/>
      <c r="B617" s="558"/>
    </row>
    <row r="618">
      <c r="A618" s="835"/>
      <c r="B618" s="558"/>
    </row>
    <row r="619">
      <c r="A619" s="835"/>
      <c r="B619" s="558"/>
    </row>
    <row r="620">
      <c r="A620" s="835"/>
      <c r="B620" s="558"/>
    </row>
    <row r="621">
      <c r="A621" s="835"/>
      <c r="B621" s="558"/>
    </row>
    <row r="622">
      <c r="A622" s="835"/>
      <c r="B622" s="558"/>
    </row>
    <row r="623">
      <c r="A623" s="835"/>
      <c r="B623" s="558"/>
    </row>
    <row r="624">
      <c r="A624" s="835"/>
      <c r="B624" s="558"/>
    </row>
    <row r="625">
      <c r="A625" s="835"/>
      <c r="B625" s="558"/>
    </row>
    <row r="626">
      <c r="A626" s="835"/>
      <c r="B626" s="558"/>
    </row>
    <row r="627">
      <c r="A627" s="835"/>
      <c r="B627" s="558"/>
    </row>
    <row r="628">
      <c r="A628" s="835"/>
      <c r="B628" s="558"/>
    </row>
    <row r="629">
      <c r="A629" s="835"/>
      <c r="B629" s="558"/>
    </row>
    <row r="630">
      <c r="A630" s="835"/>
      <c r="B630" s="558"/>
    </row>
    <row r="631">
      <c r="A631" s="835"/>
      <c r="B631" s="558"/>
    </row>
    <row r="632">
      <c r="A632" s="835"/>
      <c r="B632" s="558"/>
    </row>
    <row r="633">
      <c r="A633" s="835"/>
      <c r="B633" s="558"/>
    </row>
    <row r="634">
      <c r="A634" s="835"/>
      <c r="B634" s="558"/>
    </row>
    <row r="635">
      <c r="A635" s="835"/>
      <c r="B635" s="558"/>
    </row>
    <row r="636">
      <c r="A636" s="835"/>
      <c r="B636" s="558"/>
    </row>
    <row r="637">
      <c r="A637" s="835"/>
      <c r="B637" s="558"/>
    </row>
    <row r="638">
      <c r="A638" s="835"/>
      <c r="B638" s="558"/>
    </row>
    <row r="639">
      <c r="A639" s="835"/>
      <c r="B639" s="558"/>
    </row>
    <row r="640">
      <c r="A640" s="835"/>
      <c r="B640" s="558"/>
    </row>
    <row r="641">
      <c r="A641" s="835"/>
      <c r="B641" s="558"/>
    </row>
    <row r="642">
      <c r="A642" s="835"/>
      <c r="B642" s="558"/>
    </row>
    <row r="643">
      <c r="A643" s="835"/>
      <c r="B643" s="558"/>
    </row>
    <row r="644">
      <c r="A644" s="835"/>
      <c r="B644" s="558"/>
    </row>
    <row r="645">
      <c r="A645" s="835"/>
      <c r="B645" s="558"/>
    </row>
    <row r="646">
      <c r="A646" s="835"/>
      <c r="B646" s="558"/>
    </row>
    <row r="647">
      <c r="A647" s="835"/>
      <c r="B647" s="558"/>
    </row>
    <row r="648">
      <c r="A648" s="835"/>
      <c r="B648" s="558"/>
    </row>
    <row r="649">
      <c r="A649" s="835"/>
      <c r="B649" s="558"/>
    </row>
    <row r="650">
      <c r="A650" s="835"/>
      <c r="B650" s="558"/>
    </row>
    <row r="651">
      <c r="A651" s="835"/>
      <c r="B651" s="558"/>
    </row>
    <row r="652">
      <c r="A652" s="835"/>
      <c r="B652" s="558"/>
    </row>
    <row r="653">
      <c r="A653" s="835"/>
      <c r="B653" s="558"/>
    </row>
    <row r="654">
      <c r="A654" s="835"/>
      <c r="B654" s="558"/>
    </row>
    <row r="655">
      <c r="A655" s="835"/>
      <c r="B655" s="558"/>
    </row>
    <row r="656">
      <c r="A656" s="835"/>
      <c r="B656" s="558"/>
    </row>
    <row r="657">
      <c r="A657" s="835"/>
      <c r="B657" s="558"/>
    </row>
    <row r="658">
      <c r="A658" s="835"/>
      <c r="B658" s="558"/>
    </row>
    <row r="659">
      <c r="A659" s="835"/>
      <c r="B659" s="558"/>
    </row>
    <row r="660">
      <c r="A660" s="835"/>
      <c r="B660" s="558"/>
    </row>
    <row r="661">
      <c r="A661" s="835"/>
      <c r="B661" s="558"/>
    </row>
    <row r="662">
      <c r="A662" s="835"/>
      <c r="B662" s="558"/>
    </row>
    <row r="663">
      <c r="A663" s="835"/>
      <c r="B663" s="558"/>
    </row>
    <row r="664">
      <c r="A664" s="835"/>
      <c r="B664" s="558"/>
    </row>
    <row r="665">
      <c r="A665" s="835"/>
      <c r="B665" s="558"/>
    </row>
    <row r="666">
      <c r="A666" s="835"/>
      <c r="B666" s="558"/>
    </row>
    <row r="667">
      <c r="A667" s="835"/>
      <c r="B667" s="558"/>
    </row>
    <row r="668">
      <c r="A668" s="835"/>
      <c r="B668" s="558"/>
    </row>
    <row r="669">
      <c r="A669" s="835"/>
      <c r="B669" s="558"/>
    </row>
    <row r="670">
      <c r="A670" s="835"/>
      <c r="B670" s="558"/>
    </row>
    <row r="671">
      <c r="A671" s="835"/>
      <c r="B671" s="558"/>
    </row>
    <row r="672">
      <c r="A672" s="835"/>
      <c r="B672" s="558"/>
    </row>
    <row r="673">
      <c r="A673" s="835"/>
      <c r="B673" s="558"/>
    </row>
    <row r="674">
      <c r="A674" s="835"/>
      <c r="B674" s="558"/>
    </row>
    <row r="675">
      <c r="A675" s="835"/>
      <c r="B675" s="558"/>
    </row>
    <row r="676">
      <c r="A676" s="835"/>
      <c r="B676" s="558"/>
    </row>
    <row r="677">
      <c r="A677" s="835"/>
      <c r="B677" s="558"/>
    </row>
    <row r="678">
      <c r="A678" s="835"/>
      <c r="B678" s="558"/>
    </row>
    <row r="679">
      <c r="A679" s="835"/>
      <c r="B679" s="558"/>
    </row>
    <row r="680">
      <c r="A680" s="835"/>
      <c r="B680" s="558"/>
    </row>
    <row r="681">
      <c r="A681" s="835"/>
      <c r="B681" s="558"/>
    </row>
    <row r="682">
      <c r="A682" s="835"/>
      <c r="B682" s="558"/>
    </row>
    <row r="683">
      <c r="A683" s="835"/>
      <c r="B683" s="558"/>
    </row>
    <row r="684">
      <c r="A684" s="835"/>
      <c r="B684" s="558"/>
    </row>
    <row r="685">
      <c r="A685" s="835"/>
      <c r="B685" s="558"/>
    </row>
    <row r="686">
      <c r="A686" s="835"/>
      <c r="B686" s="558"/>
    </row>
    <row r="687">
      <c r="A687" s="835"/>
      <c r="B687" s="558"/>
    </row>
    <row r="688">
      <c r="A688" s="835"/>
      <c r="B688" s="558"/>
    </row>
    <row r="689">
      <c r="A689" s="835"/>
      <c r="B689" s="558"/>
    </row>
    <row r="690">
      <c r="A690" s="835"/>
      <c r="B690" s="558"/>
    </row>
    <row r="691">
      <c r="A691" s="835"/>
      <c r="B691" s="558"/>
    </row>
    <row r="692">
      <c r="A692" s="835"/>
      <c r="B692" s="558"/>
    </row>
    <row r="693">
      <c r="A693" s="835"/>
      <c r="B693" s="558"/>
    </row>
    <row r="694">
      <c r="A694" s="835"/>
      <c r="B694" s="558"/>
    </row>
    <row r="695">
      <c r="A695" s="835"/>
      <c r="B695" s="558"/>
    </row>
    <row r="696">
      <c r="A696" s="835"/>
      <c r="B696" s="558"/>
    </row>
    <row r="697">
      <c r="A697" s="835"/>
      <c r="B697" s="558"/>
    </row>
    <row r="698">
      <c r="A698" s="835"/>
      <c r="B698" s="558"/>
    </row>
    <row r="699">
      <c r="A699" s="835"/>
      <c r="B699" s="558"/>
    </row>
    <row r="700">
      <c r="A700" s="835"/>
      <c r="B700" s="558"/>
    </row>
    <row r="701">
      <c r="A701" s="835"/>
      <c r="B701" s="558"/>
    </row>
    <row r="702">
      <c r="A702" s="835"/>
      <c r="B702" s="558"/>
    </row>
    <row r="703">
      <c r="A703" s="835"/>
      <c r="B703" s="558"/>
    </row>
    <row r="704">
      <c r="A704" s="835"/>
      <c r="B704" s="558"/>
    </row>
    <row r="705">
      <c r="A705" s="835"/>
      <c r="B705" s="558"/>
    </row>
    <row r="706">
      <c r="A706" s="835"/>
      <c r="B706" s="558"/>
    </row>
    <row r="707">
      <c r="A707" s="835"/>
      <c r="B707" s="558"/>
    </row>
    <row r="708">
      <c r="A708" s="835"/>
      <c r="B708" s="558"/>
    </row>
    <row r="709">
      <c r="A709" s="835"/>
      <c r="B709" s="558"/>
    </row>
    <row r="710">
      <c r="A710" s="835"/>
      <c r="B710" s="558"/>
    </row>
    <row r="711">
      <c r="A711" s="835"/>
      <c r="B711" s="558"/>
    </row>
    <row r="712">
      <c r="A712" s="835"/>
      <c r="B712" s="558"/>
    </row>
    <row r="713">
      <c r="A713" s="835"/>
      <c r="B713" s="558"/>
    </row>
    <row r="714">
      <c r="A714" s="835"/>
      <c r="B714" s="558"/>
    </row>
    <row r="715">
      <c r="A715" s="835"/>
      <c r="B715" s="558"/>
    </row>
    <row r="716">
      <c r="A716" s="835"/>
      <c r="B716" s="558"/>
    </row>
    <row r="717">
      <c r="A717" s="835"/>
      <c r="B717" s="558"/>
    </row>
    <row r="718">
      <c r="A718" s="835"/>
      <c r="B718" s="558"/>
    </row>
    <row r="719">
      <c r="A719" s="835"/>
      <c r="B719" s="558"/>
    </row>
    <row r="720">
      <c r="A720" s="835"/>
      <c r="B720" s="558"/>
    </row>
    <row r="721">
      <c r="A721" s="835"/>
      <c r="B721" s="558"/>
    </row>
    <row r="722">
      <c r="A722" s="835"/>
      <c r="B722" s="558"/>
    </row>
    <row r="723">
      <c r="A723" s="835"/>
      <c r="B723" s="558"/>
    </row>
    <row r="724">
      <c r="A724" s="835"/>
      <c r="B724" s="558"/>
    </row>
    <row r="725">
      <c r="A725" s="835"/>
      <c r="B725" s="558"/>
    </row>
    <row r="726">
      <c r="A726" s="835"/>
      <c r="B726" s="558"/>
    </row>
    <row r="727">
      <c r="A727" s="835"/>
      <c r="B727" s="558"/>
    </row>
    <row r="728">
      <c r="A728" s="835"/>
      <c r="B728" s="558"/>
    </row>
    <row r="729">
      <c r="A729" s="835"/>
      <c r="B729" s="558"/>
    </row>
    <row r="730">
      <c r="A730" s="835"/>
      <c r="B730" s="558"/>
    </row>
    <row r="731">
      <c r="A731" s="835"/>
      <c r="B731" s="558"/>
    </row>
    <row r="732">
      <c r="A732" s="835"/>
      <c r="B732" s="558"/>
    </row>
    <row r="733">
      <c r="A733" s="835"/>
      <c r="B733" s="558"/>
    </row>
    <row r="734">
      <c r="A734" s="835"/>
      <c r="B734" s="558"/>
    </row>
    <row r="735">
      <c r="A735" s="835"/>
      <c r="B735" s="558"/>
    </row>
    <row r="736">
      <c r="A736" s="835"/>
      <c r="B736" s="558"/>
    </row>
    <row r="737">
      <c r="A737" s="835"/>
      <c r="B737" s="558"/>
    </row>
    <row r="738">
      <c r="A738" s="835"/>
      <c r="B738" s="558"/>
    </row>
    <row r="739">
      <c r="A739" s="835"/>
      <c r="B739" s="558"/>
    </row>
    <row r="740">
      <c r="A740" s="835"/>
      <c r="B740" s="558"/>
    </row>
    <row r="741">
      <c r="A741" s="835"/>
      <c r="B741" s="558"/>
    </row>
    <row r="742">
      <c r="A742" s="835"/>
      <c r="B742" s="558"/>
    </row>
    <row r="743">
      <c r="A743" s="835"/>
      <c r="B743" s="558"/>
    </row>
    <row r="744">
      <c r="A744" s="835"/>
      <c r="B744" s="558"/>
    </row>
    <row r="745">
      <c r="A745" s="835"/>
      <c r="B745" s="558"/>
    </row>
    <row r="746">
      <c r="A746" s="835"/>
      <c r="B746" s="558"/>
    </row>
    <row r="747">
      <c r="A747" s="835"/>
      <c r="B747" s="558"/>
    </row>
    <row r="748">
      <c r="A748" s="835"/>
      <c r="B748" s="558"/>
    </row>
    <row r="749">
      <c r="A749" s="835"/>
      <c r="B749" s="558"/>
    </row>
    <row r="750">
      <c r="A750" s="835"/>
      <c r="B750" s="558"/>
    </row>
    <row r="751">
      <c r="A751" s="835"/>
      <c r="B751" s="558"/>
    </row>
    <row r="752">
      <c r="A752" s="835"/>
      <c r="B752" s="558"/>
    </row>
    <row r="753">
      <c r="A753" s="835"/>
      <c r="B753" s="558"/>
    </row>
    <row r="754">
      <c r="A754" s="835"/>
      <c r="B754" s="558"/>
    </row>
    <row r="755">
      <c r="A755" s="835"/>
      <c r="B755" s="558"/>
    </row>
    <row r="756">
      <c r="A756" s="835"/>
      <c r="B756" s="558"/>
    </row>
    <row r="757">
      <c r="A757" s="835"/>
      <c r="B757" s="558"/>
    </row>
    <row r="758">
      <c r="A758" s="835"/>
      <c r="B758" s="558"/>
    </row>
    <row r="759">
      <c r="A759" s="835"/>
      <c r="B759" s="558"/>
    </row>
    <row r="760">
      <c r="A760" s="835"/>
      <c r="B760" s="558"/>
    </row>
    <row r="761">
      <c r="A761" s="835"/>
      <c r="B761" s="558"/>
    </row>
    <row r="762">
      <c r="A762" s="835"/>
      <c r="B762" s="558"/>
    </row>
    <row r="763">
      <c r="A763" s="835"/>
      <c r="B763" s="558"/>
    </row>
    <row r="764">
      <c r="A764" s="835"/>
      <c r="B764" s="558"/>
    </row>
    <row r="765">
      <c r="A765" s="835"/>
      <c r="B765" s="558"/>
    </row>
    <row r="766">
      <c r="A766" s="835"/>
      <c r="B766" s="558"/>
    </row>
    <row r="767">
      <c r="A767" s="835"/>
      <c r="B767" s="558"/>
    </row>
    <row r="768">
      <c r="A768" s="835"/>
      <c r="B768" s="558"/>
    </row>
    <row r="769">
      <c r="A769" s="835"/>
      <c r="B769" s="558"/>
    </row>
    <row r="770">
      <c r="A770" s="835"/>
      <c r="B770" s="558"/>
    </row>
    <row r="771">
      <c r="A771" s="835"/>
      <c r="B771" s="558"/>
    </row>
    <row r="772">
      <c r="A772" s="835"/>
      <c r="B772" s="558"/>
    </row>
    <row r="773">
      <c r="A773" s="835"/>
      <c r="B773" s="558"/>
    </row>
    <row r="774">
      <c r="A774" s="835"/>
      <c r="B774" s="558"/>
    </row>
    <row r="775">
      <c r="A775" s="835"/>
      <c r="B775" s="558"/>
    </row>
    <row r="776">
      <c r="A776" s="835"/>
      <c r="B776" s="558"/>
    </row>
    <row r="777">
      <c r="A777" s="835"/>
      <c r="B777" s="558"/>
    </row>
    <row r="778">
      <c r="A778" s="835"/>
      <c r="B778" s="558"/>
    </row>
    <row r="779">
      <c r="A779" s="835"/>
      <c r="B779" s="558"/>
    </row>
    <row r="780">
      <c r="A780" s="835"/>
      <c r="B780" s="558"/>
    </row>
    <row r="781">
      <c r="A781" s="835"/>
      <c r="B781" s="558"/>
    </row>
    <row r="782">
      <c r="A782" s="835"/>
      <c r="B782" s="558"/>
    </row>
    <row r="783">
      <c r="A783" s="835"/>
      <c r="B783" s="558"/>
    </row>
    <row r="784">
      <c r="A784" s="835"/>
      <c r="B784" s="558"/>
    </row>
    <row r="785">
      <c r="A785" s="835"/>
      <c r="B785" s="558"/>
    </row>
    <row r="786">
      <c r="A786" s="835"/>
      <c r="B786" s="558"/>
    </row>
    <row r="787">
      <c r="A787" s="835"/>
      <c r="B787" s="558"/>
    </row>
    <row r="788">
      <c r="A788" s="835"/>
      <c r="B788" s="558"/>
    </row>
    <row r="789">
      <c r="A789" s="835"/>
      <c r="B789" s="558"/>
    </row>
    <row r="790">
      <c r="A790" s="835"/>
      <c r="B790" s="558"/>
    </row>
    <row r="791">
      <c r="A791" s="835"/>
      <c r="B791" s="558"/>
    </row>
    <row r="792">
      <c r="A792" s="835"/>
      <c r="B792" s="558"/>
    </row>
    <row r="793">
      <c r="A793" s="835"/>
      <c r="B793" s="558"/>
    </row>
    <row r="794">
      <c r="A794" s="835"/>
      <c r="B794" s="558"/>
    </row>
    <row r="795">
      <c r="A795" s="835"/>
      <c r="B795" s="558"/>
    </row>
    <row r="796">
      <c r="A796" s="835"/>
      <c r="B796" s="558"/>
    </row>
    <row r="797">
      <c r="A797" s="835"/>
      <c r="B797" s="558"/>
    </row>
    <row r="798">
      <c r="A798" s="835"/>
      <c r="B798" s="558"/>
    </row>
    <row r="799">
      <c r="A799" s="835"/>
      <c r="B799" s="558"/>
    </row>
    <row r="800">
      <c r="A800" s="835"/>
      <c r="B800" s="558"/>
    </row>
    <row r="801">
      <c r="A801" s="835"/>
      <c r="B801" s="558"/>
    </row>
    <row r="802">
      <c r="A802" s="835"/>
      <c r="B802" s="558"/>
    </row>
    <row r="803">
      <c r="A803" s="835"/>
      <c r="B803" s="558"/>
    </row>
    <row r="804">
      <c r="A804" s="835"/>
      <c r="B804" s="558"/>
    </row>
    <row r="805">
      <c r="A805" s="835"/>
      <c r="B805" s="558"/>
    </row>
    <row r="806">
      <c r="A806" s="835"/>
      <c r="B806" s="558"/>
    </row>
    <row r="807">
      <c r="A807" s="835"/>
      <c r="B807" s="558"/>
    </row>
    <row r="808">
      <c r="A808" s="835"/>
      <c r="B808" s="558"/>
    </row>
    <row r="809">
      <c r="A809" s="835"/>
      <c r="B809" s="558"/>
    </row>
    <row r="810">
      <c r="A810" s="835"/>
      <c r="B810" s="558"/>
    </row>
    <row r="811">
      <c r="A811" s="835"/>
      <c r="B811" s="558"/>
    </row>
    <row r="812">
      <c r="A812" s="835"/>
      <c r="B812" s="558"/>
    </row>
    <row r="813">
      <c r="A813" s="835"/>
      <c r="B813" s="558"/>
    </row>
    <row r="814">
      <c r="A814" s="835"/>
      <c r="B814" s="558"/>
    </row>
    <row r="815">
      <c r="A815" s="835"/>
      <c r="B815" s="558"/>
    </row>
    <row r="816">
      <c r="A816" s="835"/>
      <c r="B816" s="558"/>
    </row>
    <row r="817">
      <c r="A817" s="835"/>
      <c r="B817" s="558"/>
    </row>
    <row r="818">
      <c r="A818" s="835"/>
      <c r="B818" s="558"/>
    </row>
    <row r="819">
      <c r="A819" s="835"/>
      <c r="B819" s="558"/>
    </row>
    <row r="820">
      <c r="A820" s="835"/>
      <c r="B820" s="558"/>
    </row>
    <row r="821">
      <c r="A821" s="835"/>
      <c r="B821" s="558"/>
    </row>
    <row r="822">
      <c r="A822" s="835"/>
      <c r="B822" s="558"/>
    </row>
    <row r="823">
      <c r="A823" s="835"/>
      <c r="B823" s="558"/>
    </row>
    <row r="824">
      <c r="A824" s="835"/>
      <c r="B824" s="558"/>
    </row>
    <row r="825">
      <c r="A825" s="835"/>
      <c r="B825" s="558"/>
    </row>
    <row r="826">
      <c r="A826" s="835"/>
      <c r="B826" s="558"/>
    </row>
    <row r="827">
      <c r="A827" s="835"/>
      <c r="B827" s="558"/>
    </row>
    <row r="828">
      <c r="A828" s="835"/>
      <c r="B828" s="558"/>
    </row>
    <row r="829">
      <c r="A829" s="835"/>
      <c r="B829" s="558"/>
    </row>
    <row r="830">
      <c r="A830" s="835"/>
      <c r="B830" s="558"/>
    </row>
    <row r="831">
      <c r="A831" s="835"/>
      <c r="B831" s="558"/>
    </row>
    <row r="832">
      <c r="A832" s="835"/>
      <c r="B832" s="558"/>
    </row>
    <row r="833">
      <c r="A833" s="835"/>
      <c r="B833" s="558"/>
    </row>
    <row r="834">
      <c r="A834" s="835"/>
      <c r="B834" s="558"/>
    </row>
    <row r="835">
      <c r="A835" s="835"/>
      <c r="B835" s="558"/>
    </row>
    <row r="836">
      <c r="A836" s="835"/>
      <c r="B836" s="558"/>
    </row>
    <row r="837">
      <c r="A837" s="835"/>
      <c r="B837" s="558"/>
    </row>
    <row r="838">
      <c r="A838" s="835"/>
      <c r="B838" s="558"/>
    </row>
    <row r="839">
      <c r="A839" s="835"/>
      <c r="B839" s="558"/>
    </row>
    <row r="840">
      <c r="A840" s="835"/>
      <c r="B840" s="558"/>
    </row>
    <row r="841">
      <c r="A841" s="835"/>
      <c r="B841" s="558"/>
    </row>
    <row r="842">
      <c r="A842" s="835"/>
      <c r="B842" s="558"/>
    </row>
    <row r="843">
      <c r="A843" s="835"/>
      <c r="B843" s="558"/>
    </row>
    <row r="844">
      <c r="A844" s="835"/>
      <c r="B844" s="558"/>
    </row>
    <row r="845">
      <c r="A845" s="835"/>
      <c r="B845" s="558"/>
    </row>
    <row r="846">
      <c r="A846" s="835"/>
      <c r="B846" s="558"/>
    </row>
    <row r="847">
      <c r="A847" s="835"/>
      <c r="B847" s="558"/>
    </row>
    <row r="848">
      <c r="A848" s="835"/>
      <c r="B848" s="558"/>
    </row>
    <row r="849">
      <c r="A849" s="835"/>
      <c r="B849" s="558"/>
    </row>
    <row r="850">
      <c r="A850" s="835"/>
      <c r="B850" s="558"/>
    </row>
    <row r="851">
      <c r="A851" s="835"/>
      <c r="B851" s="558"/>
    </row>
    <row r="852">
      <c r="A852" s="835"/>
      <c r="B852" s="558"/>
    </row>
    <row r="853">
      <c r="A853" s="835"/>
      <c r="B853" s="558"/>
    </row>
    <row r="854">
      <c r="A854" s="835"/>
      <c r="B854" s="558"/>
    </row>
    <row r="855">
      <c r="A855" s="835"/>
      <c r="B855" s="558"/>
    </row>
    <row r="856">
      <c r="A856" s="835"/>
      <c r="B856" s="558"/>
    </row>
    <row r="857">
      <c r="A857" s="835"/>
      <c r="B857" s="558"/>
    </row>
    <row r="858">
      <c r="A858" s="835"/>
      <c r="B858" s="558"/>
    </row>
    <row r="859">
      <c r="A859" s="835"/>
      <c r="B859" s="558"/>
    </row>
    <row r="860">
      <c r="A860" s="835"/>
      <c r="B860" s="558"/>
    </row>
    <row r="861">
      <c r="A861" s="835"/>
      <c r="B861" s="558"/>
    </row>
    <row r="862">
      <c r="A862" s="835"/>
      <c r="B862" s="558"/>
    </row>
    <row r="863">
      <c r="A863" s="835"/>
      <c r="B863" s="558"/>
    </row>
    <row r="864">
      <c r="A864" s="835"/>
      <c r="B864" s="558"/>
    </row>
    <row r="865">
      <c r="A865" s="835"/>
      <c r="B865" s="558"/>
    </row>
    <row r="866">
      <c r="A866" s="835"/>
      <c r="B866" s="558"/>
    </row>
    <row r="867">
      <c r="A867" s="835"/>
      <c r="B867" s="558"/>
    </row>
    <row r="868">
      <c r="A868" s="835"/>
      <c r="B868" s="558"/>
    </row>
    <row r="869">
      <c r="A869" s="835"/>
      <c r="B869" s="558"/>
    </row>
    <row r="870">
      <c r="A870" s="835"/>
      <c r="B870" s="558"/>
    </row>
    <row r="871">
      <c r="A871" s="835"/>
      <c r="B871" s="558"/>
    </row>
    <row r="872">
      <c r="A872" s="835"/>
      <c r="B872" s="558"/>
    </row>
    <row r="873">
      <c r="A873" s="835"/>
      <c r="B873" s="558"/>
    </row>
    <row r="874">
      <c r="A874" s="835"/>
      <c r="B874" s="558"/>
    </row>
    <row r="875">
      <c r="A875" s="835"/>
      <c r="B875" s="558"/>
    </row>
    <row r="876">
      <c r="A876" s="835"/>
      <c r="B876" s="558"/>
    </row>
    <row r="877">
      <c r="A877" s="835"/>
      <c r="B877" s="558"/>
    </row>
    <row r="878">
      <c r="A878" s="835"/>
      <c r="B878" s="558"/>
    </row>
    <row r="879">
      <c r="A879" s="835"/>
      <c r="B879" s="558"/>
    </row>
    <row r="880">
      <c r="A880" s="835"/>
      <c r="B880" s="558"/>
    </row>
    <row r="881">
      <c r="A881" s="835"/>
      <c r="B881" s="558"/>
    </row>
    <row r="882">
      <c r="A882" s="835"/>
      <c r="B882" s="558"/>
    </row>
    <row r="883">
      <c r="A883" s="835"/>
      <c r="B883" s="558"/>
    </row>
    <row r="884">
      <c r="A884" s="835"/>
      <c r="B884" s="558"/>
    </row>
    <row r="885">
      <c r="A885" s="835"/>
      <c r="B885" s="558"/>
    </row>
    <row r="886">
      <c r="A886" s="835"/>
      <c r="B886" s="558"/>
    </row>
    <row r="887">
      <c r="A887" s="835"/>
      <c r="B887" s="558"/>
    </row>
    <row r="888">
      <c r="A888" s="835"/>
      <c r="B888" s="558"/>
    </row>
    <row r="889">
      <c r="A889" s="835"/>
      <c r="B889" s="558"/>
    </row>
    <row r="890">
      <c r="A890" s="835"/>
      <c r="B890" s="558"/>
    </row>
    <row r="891">
      <c r="A891" s="835"/>
      <c r="B891" s="558"/>
    </row>
    <row r="892">
      <c r="A892" s="835"/>
      <c r="B892" s="558"/>
    </row>
    <row r="893">
      <c r="A893" s="835"/>
      <c r="B893" s="558"/>
    </row>
    <row r="894">
      <c r="A894" s="835"/>
      <c r="B894" s="558"/>
    </row>
    <row r="895">
      <c r="A895" s="835"/>
      <c r="B895" s="558"/>
    </row>
    <row r="896">
      <c r="A896" s="835"/>
      <c r="B896" s="558"/>
    </row>
    <row r="897">
      <c r="A897" s="835"/>
      <c r="B897" s="558"/>
    </row>
    <row r="898">
      <c r="A898" s="835"/>
      <c r="B898" s="558"/>
    </row>
    <row r="899">
      <c r="A899" s="835"/>
      <c r="B899" s="558"/>
    </row>
    <row r="900">
      <c r="A900" s="835"/>
      <c r="B900" s="558"/>
    </row>
    <row r="901">
      <c r="A901" s="835"/>
      <c r="B901" s="558"/>
    </row>
    <row r="902">
      <c r="A902" s="835"/>
      <c r="B902" s="558"/>
    </row>
    <row r="903">
      <c r="A903" s="835"/>
      <c r="B903" s="558"/>
    </row>
    <row r="904">
      <c r="A904" s="835"/>
      <c r="B904" s="558"/>
    </row>
    <row r="905">
      <c r="A905" s="835"/>
      <c r="B905" s="558"/>
    </row>
    <row r="906">
      <c r="A906" s="835"/>
      <c r="B906" s="558"/>
    </row>
    <row r="907">
      <c r="A907" s="835"/>
      <c r="B907" s="558"/>
    </row>
    <row r="908">
      <c r="A908" s="835"/>
      <c r="B908" s="558"/>
    </row>
    <row r="909">
      <c r="A909" s="835"/>
      <c r="B909" s="558"/>
    </row>
    <row r="910">
      <c r="A910" s="835"/>
      <c r="B910" s="558"/>
    </row>
    <row r="911">
      <c r="A911" s="835"/>
      <c r="B911" s="558"/>
    </row>
    <row r="912">
      <c r="A912" s="835"/>
      <c r="B912" s="558"/>
    </row>
    <row r="913">
      <c r="A913" s="835"/>
      <c r="B913" s="558"/>
    </row>
    <row r="914">
      <c r="A914" s="835"/>
      <c r="B914" s="558"/>
    </row>
    <row r="915">
      <c r="A915" s="835"/>
      <c r="B915" s="558"/>
    </row>
    <row r="916">
      <c r="A916" s="835"/>
      <c r="B916" s="558"/>
    </row>
    <row r="917">
      <c r="A917" s="835"/>
      <c r="B917" s="558"/>
    </row>
    <row r="918">
      <c r="A918" s="835"/>
      <c r="B918" s="558"/>
    </row>
    <row r="919">
      <c r="A919" s="835"/>
      <c r="B919" s="558"/>
    </row>
    <row r="920">
      <c r="A920" s="835"/>
      <c r="B920" s="558"/>
    </row>
    <row r="921">
      <c r="A921" s="835"/>
      <c r="B921" s="558"/>
    </row>
    <row r="922">
      <c r="A922" s="835"/>
      <c r="B922" s="558"/>
    </row>
    <row r="923">
      <c r="A923" s="835"/>
      <c r="B923" s="558"/>
    </row>
    <row r="924">
      <c r="A924" s="835"/>
      <c r="B924" s="558"/>
    </row>
    <row r="925">
      <c r="A925" s="835"/>
      <c r="B925" s="558"/>
    </row>
    <row r="926">
      <c r="A926" s="835"/>
      <c r="B926" s="558"/>
    </row>
    <row r="927">
      <c r="A927" s="835"/>
      <c r="B927" s="558"/>
    </row>
    <row r="928">
      <c r="A928" s="835"/>
      <c r="B928" s="558"/>
    </row>
    <row r="929">
      <c r="A929" s="835"/>
      <c r="B929" s="558"/>
    </row>
    <row r="930">
      <c r="A930" s="835"/>
      <c r="B930" s="558"/>
    </row>
    <row r="931">
      <c r="A931" s="835"/>
      <c r="B931" s="558"/>
    </row>
    <row r="932">
      <c r="A932" s="835"/>
      <c r="B932" s="558"/>
    </row>
    <row r="933">
      <c r="A933" s="835"/>
      <c r="B933" s="558"/>
    </row>
    <row r="934">
      <c r="A934" s="835"/>
      <c r="B934" s="558"/>
    </row>
    <row r="935">
      <c r="A935" s="835"/>
      <c r="B935" s="558"/>
    </row>
    <row r="936">
      <c r="A936" s="835"/>
      <c r="B936" s="558"/>
    </row>
    <row r="937">
      <c r="A937" s="835"/>
      <c r="B937" s="558"/>
    </row>
    <row r="938">
      <c r="A938" s="835"/>
      <c r="B938" s="558"/>
    </row>
    <row r="939">
      <c r="A939" s="835"/>
      <c r="B939" s="558"/>
    </row>
    <row r="940">
      <c r="A940" s="835"/>
      <c r="B940" s="558"/>
    </row>
    <row r="941">
      <c r="A941" s="835"/>
      <c r="B941" s="558"/>
    </row>
    <row r="942">
      <c r="A942" s="835"/>
      <c r="B942" s="558"/>
    </row>
    <row r="943">
      <c r="A943" s="835"/>
      <c r="B943" s="558"/>
    </row>
    <row r="944">
      <c r="A944" s="835"/>
      <c r="B944" s="558"/>
    </row>
    <row r="945">
      <c r="A945" s="835"/>
      <c r="B945" s="558"/>
    </row>
    <row r="946">
      <c r="A946" s="835"/>
      <c r="B946" s="558"/>
    </row>
    <row r="947">
      <c r="A947" s="835"/>
      <c r="B947" s="558"/>
    </row>
    <row r="948">
      <c r="A948" s="835"/>
      <c r="B948" s="558"/>
    </row>
    <row r="949">
      <c r="A949" s="835"/>
      <c r="B949" s="558"/>
    </row>
    <row r="950">
      <c r="A950" s="835"/>
      <c r="B950" s="558"/>
    </row>
    <row r="951">
      <c r="A951" s="835"/>
      <c r="B951" s="558"/>
    </row>
    <row r="952">
      <c r="A952" s="835"/>
      <c r="B952" s="558"/>
    </row>
    <row r="953">
      <c r="A953" s="835"/>
      <c r="B953" s="558"/>
    </row>
    <row r="954">
      <c r="A954" s="835"/>
      <c r="B954" s="558"/>
    </row>
    <row r="955">
      <c r="A955" s="835"/>
      <c r="B955" s="558"/>
    </row>
    <row r="956">
      <c r="A956" s="835"/>
      <c r="B956" s="558"/>
    </row>
    <row r="957">
      <c r="A957" s="835"/>
      <c r="B957" s="558"/>
    </row>
    <row r="958">
      <c r="A958" s="835"/>
      <c r="B958" s="558"/>
    </row>
  </sheetData>
  <drawing r:id="rId1"/>
</worksheet>
</file>